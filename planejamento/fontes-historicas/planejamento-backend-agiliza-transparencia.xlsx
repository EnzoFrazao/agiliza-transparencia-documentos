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6bd5f5d7b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o Ago-Set 2026" sheetId="1" r:id="Rccec9903807f42c5"/>
    <x:sheet xmlns:r="http://schemas.openxmlformats.org/officeDocument/2006/relationships" name="Decisões e Dependências" sheetId="2" r:id="R5a096a548dbe41ee"/>
    <x:sheet xmlns:r="http://schemas.openxmlformats.org/officeDocument/2006/relationships" name="Atuações da Alessandra" sheetId="3" r:id="R8a5f644a0aff4246"/>
    <x:sheet xmlns:r="http://schemas.openxmlformats.org/officeDocument/2006/relationships" name="Roadmap Pós-Bimestre" sheetId="4" r:id="R06451ccb4c8045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/mm/yyyy"/>
  </x:numFmts>
  <x:fonts count="13">
    <x:font>
      <x:sz val="11"/>
      <x:name val="Carlito"/>
    </x:font>
    <x:font>
      <x:b/>
      <x:sz val="16"/>
      <x:color rgb="FFFFFFFF"/>
      <x:name val="Carlito"/>
    </x:font>
    <x:font>
      <x:sz val="10"/>
      <x:color rgb="FF173568"/>
      <x:name val="Carlito"/>
    </x:font>
    <x:font>
      <x:b/>
      <x:sz val="10"/>
      <x:color rgb="FF173568"/>
      <x:name val="Carlito"/>
    </x:font>
    <x:font>
      <x:b/>
      <x:sz val="9"/>
      <x:color rgb="FFFFFFFF"/>
      <x:name val="Carlito"/>
    </x:font>
    <x:font>
      <x:b/>
      <x:sz val="14"/>
      <x:color rgb="FF173568"/>
      <x:name val="Carlito"/>
    </x:font>
    <x:font>
      <x:i/>
      <x:sz val="9"/>
      <x:color rgb="FF7F6000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  <x:font>
      <x:b/>
      <x:sz val="9"/>
      <x:color rgb="FF173568"/>
      <x:name val="Carlito"/>
    </x:font>
    <x:font>
      <x:i/>
      <x:sz val="11"/>
      <x:color rgb="FF173568"/>
      <x:name val="Carlito"/>
    </x:font>
    <x:font>
      <x:i/>
      <x:sz val="9"/>
      <x:color rgb="FF49627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568"/>
      </x:patternFill>
    </x:fill>
    <x:fill>
      <x:patternFill patternType="solid">
        <x:fgColor rgb="FFEAF0F8"/>
      </x:patternFill>
    </x:fill>
    <x:fill>
      <x:patternFill patternType="solid">
        <x:fgColor rgb="FF244475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E4DFEC"/>
      </x:patternFill>
    </x:fill>
    <x:fill>
      <x:patternFill patternType="solid">
        <x:fgColor rgb="FFC5E5F3"/>
      </x:patternFill>
    </x:fill>
    <x:fill>
      <x:patternFill patternType="solid">
        <x:fgColor rgb="FFF2F2F2"/>
      </x:patternFill>
    </x:fill>
  </x:fills>
  <x:borders count="11">
    <x:border/>
    <x:border>
      <x:left style="thin">
        <x:color rgb="FFB7C3D4"/>
      </x:left>
      <x:top style="thin">
        <x:color rgb="FFB7C3D4"/>
      </x:top>
      <x:bottom style="thin">
        <x:color rgb="FFB7C3D4"/>
      </x:bottom>
    </x:border>
    <x:border>
      <x:top style="thin">
        <x:color rgb="FFB7C3D4"/>
      </x:top>
      <x:bottom style="thin">
        <x:color rgb="FFB7C3D4"/>
      </x:bottom>
    </x:border>
    <x:border>
      <x:right style="thin">
        <x:color rgb="FFB7C3D4"/>
      </x:right>
      <x:top style="thin">
        <x:color rgb="FFB7C3D4"/>
      </x:top>
      <x:bottom style="thin">
        <x:color rgb="FFB7C3D4"/>
      </x:bottom>
    </x:border>
    <x:border>
      <x:left style="thin">
        <x:color rgb="FFB7C3D4"/>
      </x:left>
      <x:right style="thin">
        <x:color rgb="FFB7C3D4"/>
      </x:right>
      <x:top style="thin">
        <x:color rgb="FFB7C3D4"/>
      </x:top>
      <x:bottom style="thin">
        <x:color rgb="FFB7C3D4"/>
      </x:bottom>
    </x:border>
    <x:border>
      <x:left style="thin">
        <x:color rgb="FFB7C3D4"/>
      </x:left>
      <x:top style="thin">
        <x:color rgb="FFB7C3D4"/>
      </x:top>
    </x:border>
    <x:border>
      <x:top style="thin">
        <x:color rgb="FFB7C3D4"/>
      </x:top>
    </x:border>
    <x:border>
      <x:right style="thin">
        <x:color rgb="FFB7C3D4"/>
      </x:right>
      <x:top style="thin">
        <x:color rgb="FFB7C3D4"/>
      </x:top>
    </x:border>
    <x:border>
      <x:left style="thin">
        <x:color rgb="FFB7C3D4"/>
      </x:left>
      <x:bottom style="thin">
        <x:color rgb="FFB7C3D4"/>
      </x:bottom>
    </x:border>
    <x:border>
      <x:bottom style="thin">
        <x:color rgb="FFB7C3D4"/>
      </x:bottom>
    </x:border>
    <x:border>
      <x:right style="thin">
        <x:color rgb="FFB7C3D4"/>
      </x:right>
      <x:bottom style="thin">
        <x:color rgb="FFB7C3D4"/>
      </x:bottom>
    </x:border>
  </x:borders>
  <x:cellStyleXfs count="1">
    <x:xf numFmtId="0" fontId="0" fillId="0" borderId="0"/>
  </x:cellStyleXfs>
  <x:cellXfs count="1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200" fontId="5" fillId="5" borderId="4" xfId="0" applyNumberFormat="1" applyFont="1" applyFill="1" applyBorder="1"/>
    <x:xf numFmtId="200" fontId="5" fillId="5" borderId="4" xfId="0" applyNumberFormat="1" applyFont="1" applyFill="1" applyBorder="1" applyAlignment="1">
      <x:alignment horizontal="center"/>
    </x:xf>
    <x:xf numFmtId="200" fontId="5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4" xfId="0" applyNumberFormat="1" applyFont="1" applyFill="1" applyBorder="1"/>
    <x:xf numFmtId="0" fontId="7" fillId="4" borderId="4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horizont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4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4" xfId="0" applyNumberFormat="1" applyFont="1" applyFill="1" applyBorder="1"/>
    <x:xf numFmtId="0" fontId="8" fillId="9" borderId="4" xfId="0" applyNumberFormat="1" applyFont="1" applyFill="1" applyBorder="1" applyAlignment="1">
      <x:alignment wrapText="1"/>
    </x:xf>
    <x:xf numFmtId="0" fontId="8" fillId="9" borderId="4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4" xfId="0" applyNumberFormat="1" applyFont="1" applyFill="1" applyBorder="1"/>
    <x:xf numFmtId="0" fontId="8" fillId="10" borderId="4" xfId="0" applyNumberFormat="1" applyFont="1" applyFill="1" applyBorder="1" applyAlignment="1">
      <x:alignment wrapText="1"/>
    </x:xf>
    <x:xf numFmtId="0" fontId="8" fillId="10" borderId="4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vertical="center" wrapText="1"/>
    </x:xf>
    <x:xf numFmtId="0" fontId="9" fillId="8" borderId="4" xfId="0" applyNumberFormat="1" applyFont="1" applyFill="1" applyBorder="1" applyAlignment="1">
      <x:alignment vertical="center" wrapText="1"/>
    </x:xf>
    <x:xf numFmtId="0" fontId="9" fillId="9" borderId="4" xfId="0" applyNumberFormat="1" applyFont="1" applyFill="1" applyBorder="1" applyAlignment="1">
      <x:alignment vertical="center" wrapText="1"/>
    </x:xf>
    <x:xf numFmtId="0" fontId="9" fillId="10" borderId="4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horizontal="center" vertical="center" wrapText="1"/>
    </x:xf>
    <x:xf numFmtId="0" fontId="9" fillId="8" borderId="4" xfId="0" applyNumberFormat="1" applyFont="1" applyFill="1" applyBorder="1" applyAlignment="1">
      <x:alignment horizontal="center" vertical="center" wrapText="1"/>
    </x:xf>
    <x:xf numFmtId="0" fontId="9" fillId="9" borderId="4" xfId="0" applyNumberFormat="1" applyFont="1" applyFill="1" applyBorder="1" applyAlignment="1">
      <x:alignment horizontal="center" vertical="center" wrapText="1"/>
    </x:xf>
    <x:xf numFmtId="0" fontId="9" fillId="10" borderId="4" xfId="0" applyNumberFormat="1" applyFont="1" applyFill="1" applyBorder="1" applyAlignment="1">
      <x:alignment horizontal="center" vertical="center" wrapText="1"/>
    </x:xf>
    <x:xf numFmtId="0" fontId="10" fillId="7" borderId="4" xfId="0" applyNumberFormat="1" applyFont="1" applyFill="1" applyBorder="1" applyAlignment="1">
      <x:alignment vertical="center" wrapText="1"/>
    </x:xf>
    <x:xf numFmtId="0" fontId="10" fillId="8" borderId="4" xfId="0" applyNumberFormat="1" applyFont="1" applyFill="1" applyBorder="1" applyAlignment="1">
      <x:alignment vertical="center" wrapText="1"/>
    </x:xf>
    <x:xf numFmtId="0" fontId="10" fillId="9" borderId="4" xfId="0" applyNumberFormat="1" applyFont="1" applyFill="1" applyBorder="1" applyAlignment="1">
      <x:alignment vertical="center" wrapText="1"/>
    </x:xf>
    <x:xf numFmtId="0" fontId="10" fillId="10" borderId="4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8" fillId="8" borderId="4" xfId="0" applyNumberFormat="1" applyFont="1" applyFill="1" applyBorder="1" applyAlignment="1">
      <x:alignment horizontal="center" vertical="center" wrapText="1"/>
    </x:xf>
    <x:xf numFmtId="0" fontId="8" fillId="9" borderId="4" xfId="0" applyNumberFormat="1" applyFont="1" applyFill="1" applyBorder="1" applyAlignment="1">
      <x:alignment horizontal="center" vertical="center" wrapText="1"/>
    </x:xf>
    <x:xf numFmtId="0" fontId="8" fillId="10" borderId="4" xfId="0" applyNumberFormat="1" applyFont="1" applyFill="1" applyBorder="1" applyAlignment="1">
      <x:alignment horizontal="center" vertical="center" wrapText="1"/>
    </x:xf>
    <x:xf numFmtId="201" fontId="8" fillId="7" borderId="4" xfId="0" applyNumberFormat="1" applyFont="1" applyFill="1" applyBorder="1" applyAlignment="1">
      <x:alignment horizontal="center" vertical="center" wrapText="1"/>
    </x:xf>
    <x:xf numFmtId="201" fontId="8" fillId="8" borderId="4" xfId="0" applyNumberFormat="1" applyFont="1" applyFill="1" applyBorder="1" applyAlignment="1">
      <x:alignment horizontal="center" vertical="center" wrapText="1"/>
    </x:xf>
    <x:xf numFmtId="201" fontId="8" fillId="9" borderId="4" xfId="0" applyNumberFormat="1" applyFont="1" applyFill="1" applyBorder="1" applyAlignment="1">
      <x:alignment horizontal="center" vertical="center" wrapText="1"/>
    </x:xf>
    <x:xf numFmtId="201" fontId="8" fillId="10" borderId="4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/>
    <x:xf numFmtId="0" fontId="11" fillId="3" borderId="5" xfId="0" applyNumberFormat="1" applyFont="1" applyFill="1" applyBorder="1"/>
    <x:xf numFmtId="0" fontId="11" fillId="3" borderId="6" xfId="0" applyNumberFormat="1" applyFont="1" applyFill="1" applyBorder="1"/>
    <x:xf numFmtId="0" fontId="11" fillId="3" borderId="7" xfId="0" applyNumberFormat="1" applyFont="1" applyFill="1" applyBorder="1"/>
    <x:xf numFmtId="0" fontId="11" fillId="3" borderId="8" xfId="0" applyNumberFormat="1" applyFont="1" applyFill="1" applyBorder="1"/>
    <x:xf numFmtId="0" fontId="11" fillId="3" borderId="9" xfId="0" applyNumberFormat="1" applyFont="1" applyFill="1" applyBorder="1"/>
    <x:xf numFmtId="0" fontId="11" fillId="3" borderId="10" xfId="0" applyNumberFormat="1" applyFont="1" applyFill="1" applyBorder="1"/>
    <x:xf numFmtId="0" fontId="11" fillId="3" borderId="5" xfId="0" applyNumberFormat="1" applyFont="1" applyFill="1" applyBorder="1" applyAlignment="1">
      <x:alignment wrapText="1"/>
    </x:xf>
    <x:xf numFmtId="0" fontId="11" fillId="3" borderId="6" xfId="0" applyNumberFormat="1" applyFont="1" applyFill="1" applyBorder="1" applyAlignment="1">
      <x:alignment wrapText="1"/>
    </x:xf>
    <x:xf numFmtId="0" fontId="11" fillId="3" borderId="7" xfId="0" applyNumberFormat="1" applyFont="1" applyFill="1" applyBorder="1" applyAlignment="1">
      <x:alignment wrapText="1"/>
    </x:xf>
    <x:xf numFmtId="0" fontId="11" fillId="3" borderId="8" xfId="0" applyNumberFormat="1" applyFont="1" applyFill="1" applyBorder="1" applyAlignment="1">
      <x:alignment wrapText="1"/>
    </x:xf>
    <x:xf numFmtId="0" fontId="11" fillId="3" borderId="9" xfId="0" applyNumberFormat="1" applyFont="1" applyFill="1" applyBorder="1" applyAlignment="1">
      <x:alignment wrapText="1"/>
    </x:xf>
    <x:xf numFmtId="0" fontId="11" fillId="3" borderId="10" xfId="0" applyNumberFormat="1" applyFont="1" applyFill="1" applyBorder="1" applyAlignment="1">
      <x:alignment wrapText="1"/>
    </x:xf>
    <x:xf numFmtId="0" fontId="11" fillId="3" borderId="5" xfId="0" applyNumberFormat="1" applyFont="1" applyFill="1" applyBorder="1" applyAlignment="1">
      <x:alignment vertical="center" wrapText="1"/>
    </x:xf>
    <x:xf numFmtId="0" fontId="11" fillId="3" borderId="6" xfId="0" applyNumberFormat="1" applyFont="1" applyFill="1" applyBorder="1" applyAlignment="1">
      <x:alignment vertical="center" wrapText="1"/>
    </x:xf>
    <x:xf numFmtId="0" fontId="11" fillId="3" borderId="7" xfId="0" applyNumberFormat="1" applyFont="1" applyFill="1" applyBorder="1" applyAlignment="1">
      <x:alignment vertical="center" wrapText="1"/>
    </x:xf>
    <x:xf numFmtId="0" fontId="11" fillId="3" borderId="8" xfId="0" applyNumberFormat="1" applyFont="1" applyFill="1" applyBorder="1" applyAlignment="1">
      <x:alignment vertical="center" wrapText="1"/>
    </x:xf>
    <x:xf numFmtId="0" fontId="11" fillId="3" borderId="9" xfId="0" applyNumberFormat="1" applyFont="1" applyFill="1" applyBorder="1" applyAlignment="1">
      <x:alignment vertical="center" wrapText="1"/>
    </x:xf>
    <x:xf numFmtId="0" fontId="11" fillId="3" borderId="1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4" xfId="0" applyNumberFormat="1" applyFont="1" applyFill="1" applyBorder="1"/>
    <x:xf numFmtId="0" fontId="8" fillId="11" borderId="4" xfId="0" applyNumberFormat="1" applyFont="1" applyFill="1" applyBorder="1" applyAlignment="1">
      <x:alignment wrapText="1"/>
    </x:xf>
    <x:xf numFmtId="0" fontId="8" fillId="11" borderId="4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/>
    <x:xf numFmtId="0" fontId="8" fillId="5" borderId="4" xfId="0" applyNumberFormat="1" applyFont="1" applyFill="1" applyBorder="1"/>
    <x:xf numFmtId="0" fontId="8" fillId="5" borderId="4" xfId="0" applyNumberFormat="1" applyFont="1" applyFill="1" applyBorder="1" applyAlignment="1">
      <x:alignment wrapText="1"/>
    </x:xf>
    <x:xf numFmtId="0" fontId="8" fillId="5" borderId="4" xfId="0" applyNumberFormat="1" applyFont="1" applyFill="1" applyBorder="1" applyAlignment="1">
      <x:alignment vertical="center" wrapText="1"/>
    </x:xf>
    <x:xf numFmtId="0" fontId="10" fillId="11" borderId="4" xfId="0" applyNumberFormat="1" applyFont="1" applyFill="1" applyBorder="1" applyAlignment="1">
      <x:alignment vertical="center" wrapText="1"/>
    </x:xf>
    <x:xf numFmtId="0" fontId="10" fillId="5" borderId="4" xfId="0" applyNumberFormat="1" applyFont="1" applyFill="1" applyBorder="1" applyAlignment="1">
      <x:alignment vertical="center" wrapText="1"/>
    </x:xf>
    <x:xf numFmtId="0" fontId="10" fillId="11" borderId="4" xfId="0" applyNumberFormat="1" applyFont="1" applyFill="1" applyBorder="1" applyAlignment="1">
      <x:alignment horizontal="center" vertical="center" wrapText="1"/>
    </x:xf>
    <x:xf numFmtId="0" fontId="10" fillId="5" borderId="4" xfId="0" applyNumberFormat="1" applyFont="1" applyFill="1" applyBorder="1" applyAlignment="1">
      <x:alignment horizontal="center" vertical="center" wrapText="1"/>
    </x:xf>
    <x:xf numFmtId="0" fontId="8" fillId="11" borderId="4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201" fontId="8" fillId="11" borderId="4" xfId="0" applyNumberFormat="1" applyFont="1" applyFill="1" applyBorder="1" applyAlignment="1">
      <x:alignment horizontal="center" vertical="center" wrapText="1"/>
    </x:xf>
    <x:xf numFmtId="201" fontId="8" fillId="5" borderId="4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4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vertical="center" wrapText="1"/>
    </x:xf>
    <x:xf numFmtId="0" fontId="10" fillId="6" borderId="4" xfId="0" applyNumberFormat="1" applyFont="1" applyFill="1" applyBorder="1" applyAlignment="1">
      <x:alignment vertical="center" wrapText="1"/>
    </x:xf>
    <x:xf numFmtId="0" fontId="10" fillId="6" borderId="4" xfId="0" applyNumberFormat="1" applyFont="1" applyFill="1" applyBorder="1" applyAlignment="1">
      <x:alignment horizontal="center" vertic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201" fontId="8" fillId="6" borderId="4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4" xfId="0" applyNumberFormat="1" applyFont="1" applyFill="1" applyBorder="1"/>
    <x:xf numFmtId="0" fontId="8" fillId="12" borderId="4" xfId="0" applyNumberFormat="1" applyFont="1" applyFill="1" applyBorder="1" applyAlignment="1">
      <x:alignment wrapText="1"/>
    </x:xf>
    <x:xf numFmtId="0" fontId="8" fillId="12" borderId="4" xfId="0" applyNumberFormat="1" applyFont="1" applyFill="1" applyBorder="1" applyAlignment="1">
      <x:alignment vertical="center" wrapText="1"/>
    </x:xf>
    <x:xf numFmtId="0" fontId="10" fillId="12" borderId="4" xfId="0" applyNumberFormat="1" applyFont="1" applyFill="1" applyBorder="1" applyAlignment="1">
      <x:alignment vertical="center" wrapText="1"/>
    </x:xf>
    <x:xf numFmtId="0" fontId="10" fillId="12" borderId="4" xfId="0" applyNumberFormat="1" applyFont="1" applyFill="1" applyBorder="1" applyAlignment="1">
      <x:alignment horizontal="center" vertical="center" wrapText="1"/>
    </x:xf>
    <x:xf numFmtId="0" fontId="8" fillId="12" borderId="4" xfId="0" applyNumberFormat="1" applyFont="1" applyFill="1" applyBorder="1" applyAlignment="1">
      <x:alignment horizontal="center" vertical="center" wrapText="1"/>
    </x:xf>
    <x:xf numFmtId="0" fontId="12" fillId="12" borderId="4" xfId="0" applyNumberFormat="1" applyFont="1" applyFill="1" applyBorder="1" applyAlignment="1">
      <x:alignment vertical="center" wrapText="1"/>
    </x:xf>
    <x:xf numFmtId="0" fontId="12" fillId="5" borderId="4" xfId="0" applyNumberFormat="1" applyFont="1" applyFill="1" applyBorder="1" applyAlignment="1">
      <x:alignment vertical="center" wrapText="1"/>
    </x:xf>
    <x:xf numFmtId="0" fontId="12" fillId="12" borderId="4" xfId="0" applyNumberFormat="1" applyFont="1" applyFill="1" applyBorder="1" applyAlignment="1">
      <x:alignment horizontal="center" vertical="center" wrapText="1"/>
    </x:xf>
    <x:xf numFmtId="0" fontId="12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7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73568"/>
      </x:font>
      <x:fill>
        <x:patternFill patternType="solid">
          <x:bgColor rgb="FFDDEB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73568"/>
      </x:font>
      <x:fill>
        <x:patternFill patternType="solid">
          <x:bgColor rgb="FFDDEB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73568"/>
      </x:font>
      <x:fill>
        <x:patternFill patternType="solid">
          <x:bgColor rgb="FFDDEB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80f3675f2c4ede" /><Relationship Type="http://schemas.openxmlformats.org/officeDocument/2006/relationships/theme" Target="/xl/theme/theme1.xml" Id="R324307b48c714951" /><Relationship Type="http://schemas.openxmlformats.org/officeDocument/2006/relationships/sharedStrings" Target="/xl/sharedStrings.xml" Id="Rad56509751634acc" /><Relationship Type="http://schemas.openxmlformats.org/officeDocument/2006/relationships/worksheet" Target="/xl/worksheets/sheet1.xml" Id="Rccec9903807f42c5" /><Relationship Type="http://schemas.openxmlformats.org/officeDocument/2006/relationships/worksheet" Target="/xl/worksheets/sheet2.xml" Id="R5a096a548dbe41ee" /><Relationship Type="http://schemas.openxmlformats.org/officeDocument/2006/relationships/worksheet" Target="/xl/worksheets/sheet3.xml" Id="R8a5f644a0aff4246" /><Relationship Type="http://schemas.openxmlformats.org/officeDocument/2006/relationships/worksheet" Target="/xl/worksheets/sheet4.xml" Id="R06451ccb4c804538" /></Relationships>
</file>

<file path=xl/tables/table1.xml><?xml version="1.0" encoding="utf-8"?>
<x:table xmlns:x="http://schemas.openxmlformats.org/spreadsheetml/2006/main" id="1" name="PlanoBackendTable" displayName="PlanoBackendTable" ref="A6:K22" headerRowCount="1" totalsRowCount="0" totalsRowShown="0">
  <x:autoFilter ref="A6:K22"/>
  <x:tableColumns count="11">
    <x:tableColumn id="1" name="Período / Sprint"/>
    <x:tableColumn id="2" name="Macroentrega"/>
    <x:tableColumn id="3" name="Entregável verificável"/>
    <x:tableColumn id="4" name="Atividades / Microentregas"/>
    <x:tableColumn id="5" name="Responsável principal"/>
    <x:tableColumn id="6" name="Prazo"/>
    <x:tableColumn id="7" name="Status"/>
    <x:tableColumn id="8" name="Dependências"/>
    <x:tableColumn id="9" name="Critério de aceite"/>
    <x:tableColumn id="10" name="Evidência / Fonte"/>
    <x:tableColumn id="11" name="Resultado ou situação esperad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cisoesBackendTable" displayName="DecisoesBackendTable" ref="A5:I22" headerRowCount="1" totalsRowCount="0" totalsRowShown="0">
  <x:autoFilter ref="A5:I22"/>
  <x:tableColumns count="9">
    <x:tableColumn id="1" name="ID"/>
    <x:tableColumn id="2" name="Decisão / Dependência"/>
    <x:tableColumn id="3" name="Regra vigente ou fallback"/>
    <x:tableColumn id="4" name="Responsável"/>
    <x:tableColumn id="5" name="Prazo"/>
    <x:tableColumn id="6" name="Criticidade"/>
    <x:tableColumn id="7" name="Impacto no plano"/>
    <x:tableColumn id="8" name="Status"/>
    <x:tableColumn id="9" name="Evidência espera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tuacoesAlessandraTable" displayName="AtuacoesAlessandraTable" ref="A5:I14" headerRowCount="1" totalsRowCount="0" totalsRowShown="0">
  <x:autoFilter ref="A5:I14"/>
  <x:tableColumns count="9">
    <x:tableColumn id="1" name="ID"/>
    <x:tableColumn id="2" name="Atuação institucional"/>
    <x:tableColumn id="3" name="Entrega ou decisão esperada"/>
    <x:tableColumn id="4" name="Responsável"/>
    <x:tableColumn id="5" name="Sprint ou marco relacionado"/>
    <x:tableColumn id="6" name="Prazo"/>
    <x:tableColumn id="7" name="Impacto no desenvolvimento"/>
    <x:tableColumn id="8" name="Status"/>
    <x:tableColumn id="9" name="Evidência esperad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admapBackendTable" displayName="RoadmapBackendTable" ref="A5:H8" headerRowCount="1" totalsRowCount="0" totalsRowShown="0">
  <x:autoFilter ref="A5:H8"/>
  <x:tableColumns count="8">
    <x:tableColumn id="1" name="Período / Sprint"/>
    <x:tableColumn id="2" name="Objetivo"/>
    <x:tableColumn id="3" name="Entregável"/>
    <x:tableColumn id="4" name="Atividades principais"/>
    <x:tableColumn id="5" name="Responsáveis"/>
    <x:tableColumn id="6" name="Dependências"/>
    <x:tableColumn id="7" name="Critério de saída"/>
    <x:tableColumn id="8" name="Naturez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fc588ef85042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3db3f3e76443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72a2a89f534a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060c8d88a7846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1" hidden="0" customWidth="1"/>
    <x:col min="4" max="4" width="41" hidden="0" customWidth="1"/>
    <x:col min="5" max="5" width="20" hidden="0" customWidth="1"/>
    <x:col min="6" max="6" width="13" hidden="0" customWidth="1"/>
    <x:col min="7" max="7" width="18" hidden="0" customWidth="1"/>
    <x:col min="8" max="8" width="31" hidden="0" customWidth="1"/>
    <x:col min="9" max="9" width="38" hidden="0" customWidth="1"/>
    <x:col min="10" max="10" width="31" hidden="0" customWidth="1"/>
    <x:col min="11" max="11" width="38" hidden="0" customWidth="1"/>
  </x:cols>
  <x:sheetData>
    <x:row r="1" ht="32" customHeight="1">
      <x:c r="A1" s="4" t="str">
        <x:v>PLANO DE TRABALHO — AGILIZA TRANSPARÊNCIA | BACKEND E INTEGRAÇÃO | AGO–SET 2026</x:v>
      </x:c>
      <x:c r="B1" s="4" t="str">
        <x:v>PLANO DE TRABALHO — AGILIZA TRANSPARÊNCIA | BACKEND E INTEGRAÇÃO | AGO–SET 2026</x:v>
      </x:c>
      <x:c r="C1" s="4" t="str">
        <x:v>PLANO DE TRABALHO — AGILIZA TRANSPARÊNCIA | BACKEND E INTEGRAÇÃO | AGO–SET 2026</x:v>
      </x:c>
      <x:c r="D1" s="4" t="str">
        <x:v>PLANO DE TRABALHO — AGILIZA TRANSPARÊNCIA | BACKEND E INTEGRAÇÃO | AGO–SET 2026</x:v>
      </x:c>
      <x:c r="E1" s="4" t="str">
        <x:v>PLANO DE TRABALHO — AGILIZA TRANSPARÊNCIA | BACKEND E INTEGRAÇÃO | AGO–SET 2026</x:v>
      </x:c>
      <x:c r="F1" s="4" t="str">
        <x:v>PLANO DE TRABALHO — AGILIZA TRANSPARÊNCIA | BACKEND E INTEGRAÇÃO | AGO–SET 2026</x:v>
      </x:c>
      <x:c r="G1" s="4" t="str">
        <x:v>PLANO DE TRABALHO — AGILIZA TRANSPARÊNCIA | BACKEND E INTEGRAÇÃO | AGO–SET 2026</x:v>
      </x:c>
      <x:c r="H1" s="4" t="str">
        <x:v>PLANO DE TRABALHO — AGILIZA TRANSPARÊNCIA | BACKEND E INTEGRAÇÃO | AGO–SET 2026</x:v>
      </x:c>
      <x:c r="I1" s="4" t="str">
        <x:v>PLANO DE TRABALHO — AGILIZA TRANSPARÊNCIA | BACKEND E INTEGRAÇÃO | AGO–SET 2026</x:v>
      </x:c>
      <x:c r="J1" s="4" t="str">
        <x:v>PLANO DE TRABALHO — AGILIZA TRANSPARÊNCIA | BACKEND E INTEGRAÇÃO | AGO–SET 2026</x:v>
      </x:c>
      <x:c r="K1" s="4" t="str">
        <x:v>PLANO DE TRABALHO — AGILIZA TRANSPARÊNCIA | BACKEND E INTEGRAÇÃO | AGO–SET 2026</x:v>
      </x:c>
    </x:row>
    <x:row r="2" ht="40" customHeight="1">
      <x:c r="A2" s="16" t="str">
        <x:v>03/08/2026 a 25/09/2026</x:v>
      </x:c>
      <x:c r="B2" s="17"/>
      <x:c r="C2" s="17" t="str">
        <x:v>Objetivo do bimestre</x:v>
      </x:c>
      <x:c r="D2" s="17"/>
      <x:c r="E2" s="14" t="str">
        <x:v>Entregar um MVP interno integrado, com frontend finalizado, backend persistente, fluxos centrais conectados e documentação revisada a cada sprint.</x:v>
      </x:c>
      <x:c r="F2" s="14"/>
      <x:c r="G2" s="14"/>
      <x:c r="H2" s="14"/>
      <x:c r="I2" s="14"/>
      <x:c r="J2" s="14"/>
      <x:c r="K2" s="15"/>
    </x:row>
    <x:row r="3" ht="25" customHeight="1">
      <x:c r="A3" s="22" t="str">
        <x:v>Entregas concluídas</x:v>
      </x:c>
      <x:c r="B3" s="22"/>
      <x:c r="C3" s="22" t="str">
        <x:v>Entregas em curso</x:v>
      </x:c>
      <x:c r="D3" s="22"/>
      <x:c r="E3" s="22" t="str">
        <x:v>Entregas planejadas</x:v>
      </x:c>
      <x:c r="F3" s="22"/>
      <x:c r="G3" s="22" t="str">
        <x:v>Entregas bloqueadas</x:v>
      </x:c>
      <x:c r="H3" s="22"/>
      <x:c r="I3" s="22" t="str">
        <x:v>Governança e revisão</x:v>
      </x:c>
      <x:c r="J3" s="22"/>
      <x:c r="K3" s="22"/>
    </x:row>
    <x:row r="4" ht="33" customHeight="1">
      <x:c r="A4" s="28" t="n">
        <x:f>COUNTIF($G$7:$G$22,"Concluído")+COUNTIF($G$7:$G$22,"Concluído com pendências")</x:f>
        <x:v>0</x:v>
      </x:c>
      <x:c r="B4" s="28"/>
      <x:c r="C4" s="28" t="n">
        <x:f>COUNTIF($G$7:$G$22,"Em andamento")+COUNTIF($G$7:$G$22,"Em validação")</x:f>
        <x:v>0</x:v>
      </x:c>
      <x:c r="D4" s="28"/>
      <x:c r="E4" s="28" t="n">
        <x:f>COUNTIF($G$7:$G$22,"Planejado")</x:f>
        <x:v>16</x:v>
      </x:c>
      <x:c r="F4" s="28"/>
      <x:c r="G4" s="28" t="n">
        <x:f>COUNTIF($G$7:$G$22,"Bloqueado")</x:f>
        <x:v>0</x:v>
      </x:c>
      <x:c r="H4" s="28"/>
      <x:c r="I4" s="33" t="str">
        <x:v>Ao final de cada sprint: demonstração, relatório e documentação para Luã/Laura e equipe da STC.</x:v>
      </x:c>
      <x:c r="J4" s="33"/>
      <x:c r="K4" s="33"/>
    </x:row>
    <x:row r="5" ht="10" customHeight="1"/>
    <x:row r="6" ht="42" customHeight="1">
      <x:c r="A6" s="38" t="str">
        <x:v>Período / Sprint</x:v>
      </x:c>
      <x:c r="B6" s="38" t="str">
        <x:v>Macroentrega</x:v>
      </x:c>
      <x:c r="C6" s="38" t="str">
        <x:v>Entregável verificável</x:v>
      </x:c>
      <x:c r="D6" s="38" t="str">
        <x:v>Atividades / Microentregas</x:v>
      </x:c>
      <x:c r="E6" s="38" t="str">
        <x:v>Responsável principal</x:v>
      </x:c>
      <x:c r="F6" s="38" t="str">
        <x:v>Prazo</x:v>
      </x:c>
      <x:c r="G6" s="38" t="str">
        <x:v>Status</x:v>
      </x:c>
      <x:c r="H6" s="38" t="str">
        <x:v>Dependências</x:v>
      </x:c>
      <x:c r="I6" s="38" t="str">
        <x:v>Critério de aceite</x:v>
      </x:c>
      <x:c r="J6" s="38" t="str">
        <x:v>Evidência / Fonte</x:v>
      </x:c>
      <x:c r="K6" s="38" t="str">
        <x:v>Resultado ou situação esperada</x:v>
      </x:c>
    </x:row>
    <x:row r="7" ht="112" customHeight="1">
      <x:c r="A7" s="63" t="str">
        <x:v>03 a 14/08/2026
Sprint 6</x:v>
      </x:c>
      <x:c r="B7" s="67" t="str">
        <x:v>Fechamento do frontend (concluir as telas e jornadas da plataforma)</x:v>
      </x:c>
      <x:c r="C7" s="43" t="str">
        <x:v>Jornadas visuais consolidadas e inventário de integração (mapa do que cada tela precisa do backend)</x:v>
      </x:c>
      <x:c r="D7" s="43" t="str">
        <x:v>• Finalizar os quatro perfis
• Consolidar estados e permissões
• Representar coleta local, submissões e versões
• Mapear telas, estados e contratos de API
• Produzir relatório de lacunas do frontend</x:v>
      </x:c>
      <x:c r="E7" s="71" t="str">
        <x:v>Enzo</x:v>
      </x:c>
      <x:c r="F7" s="75" t="n">
        <x:v>46248.625</x:v>
      </x:c>
      <x:c r="G7" s="71" t="str">
        <x:v>Planejado</x:v>
      </x:c>
      <x:c r="H7" s="43" t="str">
        <x:v>Fluxogramas e funcionalidades do MVP v2</x:v>
      </x:c>
      <x:c r="I7" s="43" t="str">
        <x:v>As quatro jornadas estão navegáveis, sem lacunas funcionais críticas, e cada ação possui contrato de integração identificado.</x:v>
      </x:c>
      <x:c r="J7" s="43" t="str">
        <x:v>Demonstração do frontend; inventário de telas, estados, integrações e lacunas</x:v>
      </x:c>
      <x:c r="K7" s="43" t="str">
        <x:v>Frontend estabilizado e lacunas classificadas para possível redistribuição nas Sprints 7–9.</x:v>
      </x:c>
    </x:row>
    <x:row r="8" ht="112" customHeight="1">
      <x:c r="A8" s="63" t="str">
        <x:v>03 a 14/08/2026
Sprint 6</x:v>
      </x:c>
      <x:c r="B8" s="67" t="str">
        <x:v>Fundação do backend (preparar a base técnica do servidor)</x:v>
      </x:c>
      <x:c r="C8" s="43" t="str">
        <x:v>Aplicação Laravel executável com Docker e PostgreSQL (backend funcionando localmente)</x:v>
      </x:c>
      <x:c r="D8" s="43" t="str">
        <x:v>• Criar projeto Laravel
• Configurar Docker e PostgreSQL
• Criar migrations e seeds iniciais
• Adicionar endpoint de saúde
• Configurar estrutura de testes e ambientes</x:v>
      </x:c>
      <x:c r="E8" s="71" t="str">
        <x:v>Ariel</x:v>
      </x:c>
      <x:c r="F8" s="75" t="n">
        <x:v>46248.625</x:v>
      </x:c>
      <x:c r="G8" s="71" t="str">
        <x:v>Planejado</x:v>
      </x:c>
      <x:c r="H8" s="43" t="str">
        <x:v>Apoio da STC para banco, infraestrutura e deploy</x:v>
      </x:c>
      <x:c r="I8" s="43" t="str">
        <x:v>Ambiente sobe por comando documentado, banco é criado por migrations e o endpoint de saúde responde com teste automatizado.</x:v>
      </x:c>
      <x:c r="J8" s="43" t="str">
        <x:v>Repositório; instruções de execução; testes; demonstração técnica</x:v>
      </x:c>
      <x:c r="K8" s="43" t="str">
        <x:v>Base reproduzível para desenvolvimento das próximas fatias.</x:v>
      </x:c>
    </x:row>
    <x:row r="9" ht="112" customHeight="1">
      <x:c r="A9" s="63" t="str">
        <x:v>03 a 14/08/2026
Sprint 6</x:v>
      </x:c>
      <x:c r="B9" s="67" t="str">
        <x:v>Arquitetura e contratos (definir os dados e a comunicação entre os sistemas)</x:v>
      </x:c>
      <x:c r="C9" s="43" t="str">
        <x:v>Modelo de dados e OpenAPI iniciais (mapa dos dados e das APIs)</x:v>
      </x:c>
      <x:c r="D9" s="43" t="str">
        <x:v>• Modelar usuários, perfis e permissões
• Modelar UGs, adjuntas e catálogo
• Modelar ciclo, modelo-base, coleta local, versão local e submissão
• Definir erros, auditoria, eventos de notificação e configuração
• Iniciar integração Keycloak</x:v>
      </x:c>
      <x:c r="E9" s="71" t="str">
        <x:v>Ariel</x:v>
      </x:c>
      <x:c r="F9" s="75" t="n">
        <x:v>46248.625</x:v>
      </x:c>
      <x:c r="G9" s="71" t="str">
        <x:v>Planejado</x:v>
      </x:c>
      <x:c r="H9" s="43" t="str">
        <x:v>Stack Laravel/PostgreSQL/Docker/Keycloak aprovada</x:v>
      </x:c>
      <x:c r="I9" s="43" t="str">
        <x:v>Entidades, relacionamentos, estados iniciais e contratos REST estão documentados sem transformar pendências institucionais em regras definitivas.</x:v>
      </x:c>
      <x:c r="J9" s="43" t="str">
        <x:v>Diagrama de dados; OpenAPI v1; matriz de perfis</x:v>
      </x:c>
      <x:c r="K9" s="43" t="str">
        <x:v>Frontend e backend compartilham um contrato técnico revisável.</x:v>
      </x:c>
    </x:row>
    <x:row r="10" ht="112" customHeight="1">
      <x:c r="A10" s="63" t="str">
        <x:v>03 a 14/08/2026
Sprint 6</x:v>
      </x:c>
      <x:c r="B10" s="67" t="str">
        <x:v>Revisão da Sprint 6 (demonstrar, documentar e ajustar o plano)</x:v>
      </x:c>
      <x:c r="C10" s="43" t="str">
        <x:v>Relatório, documentação e demonstração da fundação (visão do que foi entregue e do que precisa mudar)</x:v>
      </x:c>
      <x:c r="D10" s="43" t="str">
        <x:v>• Consolidar realizado × planejado
• Registrar riscos e decisões
• Demonstrar frontend e backend
• Revisar lacunas do frontend
• Redistribuir atividades das Sprints 7–9 quando necessário
• Entregar documentação a Luã/Laura e STC</x:v>
      </x:c>
      <x:c r="E10" s="71" t="str">
        <x:v>Enzo e Ariel</x:v>
      </x:c>
      <x:c r="F10" s="75" t="n">
        <x:v>46248.625</x:v>
      </x:c>
      <x:c r="G10" s="71" t="str">
        <x:v>Planejado</x:v>
      </x:c>
      <x:c r="H10" s="43" t="str">
        <x:v>Evidências das três macroentregas da sprint</x:v>
      </x:c>
      <x:c r="I10" s="43" t="str">
        <x:v>Relatório identifica entregas completas, parciais e bloqueadas; lacunas do frontend são classificadas e o plano posterior é ajustado sem ocultar impacto.</x:v>
      </x:c>
      <x:c r="J10" s="43" t="str">
        <x:v>Relatório da Sprint 6; ata de revisão; backlog atualizado</x:v>
      </x:c>
      <x:c r="K10" s="43" t="str">
        <x:v>Ajustes da revisão incorporados ao plano da Sprint 7.</x:v>
      </x:c>
    </x:row>
    <x:row r="11" ht="112" customHeight="1">
      <x:c r="A11" s="64" t="str">
        <x:v>17 a 28/08/2026
Sprint 7</x:v>
      </x:c>
      <x:c r="B11" s="68" t="str">
        <x:v>Catálogo e geração de planilhas (carregar o Tesauro e criar os arquivos XLSX)</x:v>
      </x:c>
      <x:c r="C11" s="48" t="str">
        <x:v>Importação versionada do Tesauro e serviço universal de XLSX (catálogo carregado e planilhas reproduzíveis)</x:v>
      </x:c>
      <x:c r="D11" s="48" t="str">
        <x:v>• Importar catálogo sem edição administrativa
• Desabilitar objetos sem metadados
• Gerar XLSX de objeto fixo e variável
• Bloquear a base normativa do fixo
• Incluir acréscimos aprovados na versão</x:v>
      </x:c>
      <x:c r="E11" s="72" t="str">
        <x:v>Enzo e Ariel</x:v>
      </x:c>
      <x:c r="F11" s="76" t="n">
        <x:v>46262.625</x:v>
      </x:c>
      <x:c r="G11" s="72" t="str">
        <x:v>Planejado</x:v>
      </x:c>
      <x:c r="H11" s="48" t="str">
        <x:v>Tesauro oficial atualizado ou última versão validada pela STC</x:v>
      </x:c>
      <x:c r="I11" s="48" t="str">
        <x:v>Todo objeto habilitado gera XLSX reproduzível pela versão aprovada; MT-0050, MT-0054, MT-0055 e MT-0056 continuam indisponíveis sem metadados oficiais.</x:v>
      </x:c>
      <x:c r="J11" s="48" t="str">
        <x:v>Teste de importação; amostras XLSX; registro da versão do catálogo</x:v>
      </x:c>
      <x:c r="K11" s="48" t="str">
        <x:v>Catálogo externo utilizado como fonte sem criar gestão de Tesauro no MVP.</x:v>
      </x:c>
    </x:row>
    <x:row r="12" ht="112" customHeight="1">
      <x:c r="A12" s="64" t="str">
        <x:v>17 a 28/08/2026
Sprint 7</x:v>
      </x:c>
      <x:c r="B12" s="68" t="str">
        <x:v>Criação e configuração do ciclo (registrar o pedido e preparar a coleta)</x:v>
      </x:c>
      <x:c r="C12" s="48" t="str">
        <x:v>API persistente de ciclo e modelo-base (dados do ciclo salvos no servidor)</x:v>
      </x:c>
      <x:c r="D12" s="48" t="str">
        <x:v>• Criar e editar rascunho
• Selecionar UGs explicitamente
• Configurar prazo e toggle por UG
• Definir campos e anexos
• Registrar processo SEI manual</x:v>
      </x:c>
      <x:c r="E12" s="72" t="str">
        <x:v>Enzo e Ariel</x:v>
      </x:c>
      <x:c r="F12" s="76" t="n">
        <x:v>46262.625</x:v>
      </x:c>
      <x:c r="G12" s="72" t="str">
        <x:v>Planejado</x:v>
      </x:c>
      <x:c r="H12" s="48" t="str">
        <x:v>Modelo de dados aprovado e matriz objeto × UG tratada apenas como sugestão</x:v>
      </x:c>
      <x:c r="I12" s="48" t="str">
        <x:v>Ciclo permanece editável em preparação e não gera link, coleta ou notificação antes da aprovação.</x:v>
      </x:c>
      <x:c r="J12" s="48" t="str">
        <x:v>Testes de API; migrations; OpenAPI atualizado</x:v>
      </x:c>
      <x:c r="K12" s="48" t="str">
        <x:v>Configuração do ciclo persistida e auditável.</x:v>
      </x:c>
    </x:row>
    <x:row r="13" ht="112" customHeight="1">
      <x:c r="A13" s="64" t="str">
        <x:v>17 a 28/08/2026
Sprint 7</x:v>
      </x:c>
      <x:c r="B13" s="68" t="str">
        <x:v>Gate e publicação interna (aprovar o ciclo, gerar o link e liberar as coletas)</x:v>
      </x:c>
      <x:c r="C13" s="48" t="str">
        <x:v>Gate de aprovação, link único e coletas por UG (ciclo liberado somente após aprovação)</x:v>
      </x:c>
      <x:c r="D13" s="48" t="str">
        <x:v>• Enviar ciclo para análise
• Solicitar ajustes com observação
• Aprovar pelo Especialista
• Gerar link único
• Criar uma coleta local por UG
• Registrar eventos de auditoria
• Criar evento de notificação do focal por adaptador testável
• Manter o link sem uso institucional até o isolamento da Sprint 8</x:v>
      </x:c>
      <x:c r="E13" s="72" t="str">
        <x:v>Enzo e Ariel</x:v>
      </x:c>
      <x:c r="F13" s="76" t="n">
        <x:v>46262.625</x:v>
      </x:c>
      <x:c r="G13" s="72" t="str">
        <x:v>Planejado</x:v>
      </x:c>
      <x:c r="H13" s="48" t="str">
        <x:v>Perfis internos e estados consolidados</x:v>
      </x:c>
      <x:c r="I13" s="48" t="str">
        <x:v>A aprovação é o único evento que cria link e coletas; duas UGs recebem coletas derivadas do mesmo modelo-base e a distribuição institucional aguarda o isolamento da Sprint 8.</x:v>
      </x:c>
      <x:c r="J13" s="48" t="str">
        <x:v>Testes de autorização e transição; demonstração da aprovação</x:v>
      </x:c>
      <x:c r="K13" s="48" t="str">
        <x:v>Núcleo STC executável do rascunho à abertura do ciclo.</x:v>
      </x:c>
    </x:row>
    <x:row r="14" ht="112" customHeight="1">
      <x:c r="A14" s="64" t="str">
        <x:v>17 a 28/08/2026
Sprint 7</x:v>
      </x:c>
      <x:c r="B14" s="68" t="str">
        <x:v>Integração do painel STC (ligar as telas internas às APIs)</x:v>
      </x:c>
      <x:c r="C14" s="48" t="str">
        <x:v>Frontend STC conectado ao núcleo do backend (criação e aprovação usando dados reais da API)</x:v>
      </x:c>
      <x:c r="D14" s="48" t="str">
        <x:v>• Integrar criação e aprovação
• Tratar erros e estados de carregamento
• Revisar OpenAPI
• Executar demonstração
• Entregar relatório e documentação a Luã/Laura e STC</x:v>
      </x:c>
      <x:c r="E14" s="72" t="str">
        <x:v>Enzo e Ariel</x:v>
      </x:c>
      <x:c r="F14" s="76" t="n">
        <x:v>46262.625</x:v>
      </x:c>
      <x:c r="G14" s="72" t="str">
        <x:v>Planejado</x:v>
      </x:c>
      <x:c r="H14" s="48" t="str">
        <x:v>APIs de catálogo, ciclo e gate disponíveis</x:v>
      </x:c>
      <x:c r="I14" s="48" t="str">
        <x:v>O fluxo STC funciona sem estado demonstrativo nas etapas integradas e possui evidências automatizadas e manuais.</x:v>
      </x:c>
      <x:c r="J14" s="48" t="str">
        <x:v>Relatório da Sprint 7; OpenAPI; vídeo/ata de demonstração</x:v>
      </x:c>
      <x:c r="K14" s="48" t="str">
        <x:v>Primeira fatia vertical integrada do MVP.</x:v>
      </x:c>
    </x:row>
    <x:row r="15" ht="112" customHeight="1">
      <x:c r="A15" s="65" t="str">
        <x:v>31/08 a 11/09/2026
Sprint 8</x:v>
      </x:c>
      <x:c r="B15" s="69" t="str">
        <x:v>Acesso e isolamento por UG (garantir que cada órgão veja somente seus dados)</x:v>
      </x:c>
      <x:c r="C15" s="53" t="str">
        <x:v>Keycloak e link único com autorização contextual (login institucional com separação por órgão)</x:v>
      </x:c>
      <x:c r="D15" s="53" t="str">
        <x:v>• Autenticar perfis
• Vincular identidade, UG e atribuições
• Resolver a UG autorizada no link
• Impedir leitura cruzada
• Manter adaptador para CPF–UG</x:v>
      </x:c>
      <x:c r="E15" s="73" t="str">
        <x:v>Enzo e Ariel</x:v>
      </x:c>
      <x:c r="F15" s="77" t="n">
        <x:v>46276.625</x:v>
      </x:c>
      <x:c r="G15" s="73" t="str">
        <x:v>Planejado</x:v>
      </x:c>
      <x:c r="H15" s="53" t="str">
        <x:v>Keycloak disponível; fonte definitiva CPF–UG pode permanecer pendente</x:v>
      </x:c>
      <x:c r="I15" s="53" t="str">
        <x:v>O mesmo link atende duas UGs autenticadas sem expor coletas, submissões, autores ou conteúdo restrito entre elas.</x:v>
      </x:c>
      <x:c r="J15" s="53" t="str">
        <x:v>Testes de autorização; matriz de acesso; OpenAPI</x:v>
      </x:c>
      <x:c r="K15" s="53" t="str">
        <x:v>Base segura para focal e respondente.</x:v>
      </x:c>
    </x:row>
    <x:row r="16" ht="112" customHeight="1">
      <x:c r="A16" s="65" t="str">
        <x:v>31/08 a 11/09/2026
Sprint 8</x:v>
      </x:c>
      <x:c r="B16" s="69" t="str">
        <x:v>Gestão de participantes (cadastrar focais, adjuntas e respondentes)</x:v>
      </x:c>
      <x:c r="C16" s="53" t="str">
        <x:v>Cadastros e atribuições por UG (participantes vinculados ao órgão correto)</x:v>
      </x:c>
      <x:c r="D16" s="53" t="str">
        <x:v>• Cadastrar, substituir e desativar focais por Analista ou Especialista
• Cadastrar e desativar adjuntas por Analista ou Especialista
• Cadastrar e desativar respondentes pelo focal
• Gerenciar múltiplas atribuições
• Informar adjunta ausente à STC
• Responder ou monitorar
• Visualizar apenas a própria UG</x:v>
      </x:c>
      <x:c r="E16" s="73" t="str">
        <x:v>Enzo e Ariel</x:v>
      </x:c>
      <x:c r="F16" s="77" t="n">
        <x:v>46276.625</x:v>
      </x:c>
      <x:c r="G16" s="73" t="str">
        <x:v>Planejado</x:v>
      </x:c>
      <x:c r="H16" s="53" t="str">
        <x:v>Perfis e vínculos de UG implementados</x:v>
      </x:c>
      <x:c r="I16" s="53" t="str">
        <x:v>A STC administra focais e adjuntas; o ponto focal administra respondentes da própria UG; múltiplas atribuições geram submissões separadas e auditáveis.</x:v>
      </x:c>
      <x:c r="J16" s="53" t="str">
        <x:v>Testes de domínio e API; demonstração do painel focal</x:v>
      </x:c>
      <x:c r="K16" s="53" t="str">
        <x:v>Distribuição interna persistente e rastreável.</x:v>
      </x:c>
    </x:row>
    <x:row r="17" ht="112" customHeight="1">
      <x:c r="A17" s="65" t="str">
        <x:v>31/08 a 11/09/2026
Sprint 8</x:v>
      </x:c>
      <x:c r="B17" s="69" t="str">
        <x:v>Envio de respostas e arquivos (permitir rascunho, planilha e anexos)</x:v>
      </x:c>
      <x:c r="C17" s="53" t="str">
        <x:v>Submissão identificada com armazenamento desacoplado (arquivos salvos sem depender de um provedor definitivo)</x:v>
      </x:c>
      <x:c r="D17" s="53" t="str">
        <x:v>• Baixar XLSX vigente
• Salvar rascunho
• Enviar um XLSX por submissão
• Criar caixas obrigatórias
• Aceitar múltiplos arquivos por caixa
• Checar estrutura sem ler conteúdo</x:v>
      </x:c>
      <x:c r="E17" s="73" t="str">
        <x:v>Enzo e Ariel</x:v>
      </x:c>
      <x:c r="F17" s="77" t="n">
        <x:v>46276.625</x:v>
      </x:c>
      <x:c r="G17" s="73" t="str">
        <x:v>Planejado</x:v>
      </x:c>
      <x:c r="H17" s="53" t="str">
        <x:v>Laravel Filesystem; disco local em desenvolvimento e provedor da STC configurável</x:v>
      </x:c>
      <x:c r="I17" s="53" t="str">
        <x:v>Envio é bloqueado sem XLSX ou caixa obrigatória atendida; arquivos permanecem associados à submissão e à caixa correta.</x:v>
      </x:c>
      <x:c r="J17" s="53" t="str">
        <x:v>Testes de upload; comprovante; documentação de armazenamento</x:v>
      </x:c>
      <x:c r="K17" s="53" t="str">
        <x:v>Fluxo básico de resposta funcional sem acoplar o domínio ao provedor de arquivos.</x:v>
      </x:c>
    </x:row>
    <x:row r="18" ht="112" customHeight="1">
      <x:c r="A18" s="65" t="str">
        <x:v>31/08 a 11/09/2026
Sprint 8</x:v>
      </x:c>
      <x:c r="B18" s="69" t="str">
        <x:v>Acompanhamento, prazo e restrição (monitorar respostas e proteger dados)</x:v>
      </x:c>
      <x:c r="C18" s="53" t="str">
        <x:v>Painel STC e envio auditável (acompanhar UGs, atrasos, não ocorrência e conteúdo restrito)</x:v>
      </x:c>
      <x:c r="D18" s="53" t="str">
        <x:v>• Exibir no painel STC quem respondeu, não respondeu, atrasou ou formalizou não ocorrência
• Exibir a situação das submissões
• Aplicar prazo por UG
• Exigir justificativa no atraso
• Marcar resposta/anexo restrito
• Gerar comprovante de envio
• Notificar atribuição e lembrar prazo por adaptador
• Integrar jornada do respondente
• Entregar relatório e documentação a Luã/Laura e STC</x:v>
      </x:c>
      <x:c r="E18" s="73" t="str">
        <x:v>Enzo e Ariel</x:v>
      </x:c>
      <x:c r="F18" s="77" t="n">
        <x:v>46276.625</x:v>
      </x:c>
      <x:c r="G18" s="73" t="str">
        <x:v>Planejado</x:v>
      </x:c>
      <x:c r="H18" s="53" t="str">
        <x:v>Política completa de retenção permanece aberta; Sprint 8 inclui feriado nacional em 07/09</x:v>
      </x:c>
      <x:c r="I18" s="53" t="str">
        <x:v>A STC acompanha todas as UGs sem acesso cruzado entre órgãos; atraso não fecha automaticamente; conteúdo restrito é visível apenas ao autor, focal da UG e STC.</x:v>
      </x:c>
      <x:c r="J18" s="53" t="str">
        <x:v>Relatório da Sprint 8; testes de acesso; demonstração da submissão</x:v>
      </x:c>
      <x:c r="K18" s="53" t="str">
        <x:v>Jornada do respondente integrada ao backend.</x:v>
      </x:c>
    </x:row>
    <x:row r="19" ht="112" customHeight="1">
      <x:c r="A19" s="66" t="str">
        <x:v>14 a 25/09/2026
Sprint 9</x:v>
      </x:c>
      <x:c r="B19" s="70" t="str">
        <x:v>Conferência e validação (encaminhar, devolver e aprovar respostas)</x:v>
      </x:c>
      <x:c r="C19" s="58" t="str">
        <x:v>Toggle focal e devolução granular (tratar a submissão inteira, o XLSX, uma caixa ou um arquivo)</x:v>
      </x:c>
      <x:c r="D19" s="58" t="str">
        <x:v>• Encaminhar ou devolver submissão específica
• Devolver submissão, XLSX, caixa ou arquivo com justificativa
• Corrigir sem reabrir outras submissões
• Retornar ao focal antes da STC quando o toggle estiver ativo
• Validar por Analista ou Especialista
• Impedir dupla validação silenciosa</x:v>
      </x:c>
      <x:c r="E19" s="74" t="str">
        <x:v>Enzo e Ariel</x:v>
      </x:c>
      <x:c r="F19" s="78" t="n">
        <x:v>46290.625</x:v>
      </x:c>
      <x:c r="G19" s="74" t="str">
        <x:v>Planejado</x:v>
      </x:c>
      <x:c r="H19" s="58" t="str">
        <x:v>Submissões e perfis integrados</x:v>
      </x:c>
      <x:c r="I19" s="58" t="str">
        <x:v>Toggle atua por UG; devolução granular preserva itens não afetados e não reabre outras submissões; uma validação da STC é suficiente e fica auditada.</x:v>
      </x:c>
      <x:c r="J19" s="58" t="str">
        <x:v>Testes de transição; demonstração focal/STC</x:v>
      </x:c>
      <x:c r="K19" s="58" t="str">
        <x:v>Tratamento completo da submissão até a validação.</x:v>
      </x:c>
    </x:row>
    <x:row r="20" ht="112" customHeight="1">
      <x:c r="A20" s="66" t="str">
        <x:v>14 a 25/09/2026
Sprint 9</x:v>
      </x:c>
      <x:c r="B20" s="70" t="str">
        <x:v>Exceções da coleta (tratar não ocorrência, alterações locais e redirecionamento)</x:v>
      </x:c>
      <x:c r="C20" s="58" t="str">
        <x:v>Exceções da UG tratadas no mesmo ciclo (sem afetar outra UG ou trocar o link)</x:v>
      </x:c>
      <x:c r="D20" s="58" t="str">
        <x:v>• Sinalizar não ocorrência ao focal
• Formalizar à STC e registrar ciência sem rejeição
• Solicitar alteração local pela UG
• Analista aceitar ou recusar e preparar a versão
• Especialista aprovar ou devolver a versão local
• Preservar submissões e pedir somente o complemento alterado
• Focal indicar destino e STC decidir o redirecionamento
• Não transferir automaticamente conteúdo já enviado</x:v>
      </x:c>
      <x:c r="E20" s="74" t="str">
        <x:v>Enzo e Ariel</x:v>
      </x:c>
      <x:c r="F20" s="78" t="n">
        <x:v>46290.625</x:v>
      </x:c>
      <x:c r="G20" s="74" t="str">
        <x:v>Planejado</x:v>
      </x:c>
      <x:c r="H20" s="58" t="str">
        <x:v>Redirecionamento com submissões existentes permanece sem transferência automática</x:v>
      </x:c>
      <x:c r="I20" s="58" t="str">
        <x:v>Não ocorrência não chega diretamente do respondente à STC; alteração local preserva envios e cria pendência apenas do requisito modificado; redirecionamento não transfere conteúdo automaticamente.</x:v>
      </x:c>
      <x:c r="J20" s="58" t="str">
        <x:v>Testes de não ocorrência e versionamento; histórico de eventos</x:v>
      </x:c>
      <x:c r="K20" s="58" t="str">
        <x:v>Fluxos excepcionais resolvidos sem afetar outra UG.</x:v>
      </x:c>
    </x:row>
    <x:row r="21" ht="112" customHeight="1">
      <x:c r="A21" s="66" t="str">
        <x:v>14 a 25/09/2026
Sprint 9</x:v>
      </x:c>
      <x:c r="B21" s="70" t="str">
        <x:v>Reiteração e encerramento manual (prorrogar, registrar e fechar o ciclo)</x:v>
      </x:c>
      <x:c r="C21" s="58" t="str">
        <x:v>Gestão manual do prazo, SEI, relatórios e comprovantes (histórico completo do ciclo)</x:v>
      </x:c>
      <x:c r="D21" s="58" t="str">
        <x:v>• Registrar novo número SEI
• Reiterar UGs selecionadas
• Manter envio atrasado configurável
• Encerrar manualmente
• Gerar relatório de fechamento
• Gerar comprovantes de envio, encaminhamento, devolução, validação, atraso, não ocorrência, alteração local e fechamento
• Consolidar log, histórico e notificações</x:v>
      </x:c>
      <x:c r="E21" s="74" t="str">
        <x:v>Enzo e Ariel</x:v>
      </x:c>
      <x:c r="F21" s="78" t="n">
        <x:v>46290.625</x:v>
      </x:c>
      <x:c r="G21" s="74" t="str">
        <x:v>Planejado</x:v>
      </x:c>
      <x:c r="H21" s="58" t="str">
        <x:v>SEI sem integração automática; e-mail por adaptador testável</x:v>
      </x:c>
      <x:c r="I21" s="58" t="str">
        <x:v>Nenhum prazo ou reiteração fecha automaticamente; encerramento registra quem enviou, atrasou, não enviou ou formalizou não ocorrência.</x:v>
      </x:c>
      <x:c r="J21" s="58" t="str">
        <x:v>Testes de prazo e encerramento; comprovantes; OpenAPI</x:v>
      </x:c>
      <x:c r="K21" s="58" t="str">
        <x:v>Ciclo administrável até o fechamento manual.</x:v>
      </x:c>
    </x:row>
    <x:row r="22" ht="112" customHeight="1">
      <x:c r="A22" s="66" t="str">
        <x:v>14 a 25/09/2026
Sprint 9</x:v>
      </x:c>
      <x:c r="B22" s="70" t="str">
        <x:v>MVP interno integrado (testar toda a jornada em conjunto)</x:v>
      </x:c>
      <x:c r="C22" s="58" t="str">
        <x:v>Jornada ponta a ponta, documentação e roadmap revisados (MVP demonstrável em ambiente interno)</x:v>
      </x:c>
      <x:c r="D22" s="58" t="str">
        <x:v>• Executar cenários integrados
• Revisar segurança e permissões
• Consolidar documentação técnica
• Registrar falhas e riscos
• Demonstrar a Luã/Laura e STC
• Entregar relatório do bimestre</x:v>
      </x:c>
      <x:c r="E22" s="74" t="str">
        <x:v>Enzo e Ariel</x:v>
      </x:c>
      <x:c r="F22" s="78" t="n">
        <x:v>46290.625</x:v>
      </x:c>
      <x:c r="G22" s="74" t="str">
        <x:v>Planejado</x:v>
      </x:c>
      <x:c r="H22" s="58" t="str">
        <x:v>Todas as fatias anteriores disponíveis em ambiente interno</x:v>
      </x:c>
      <x:c r="I22" s="58" t="str">
        <x:v>Ciclo com duas UGs executa criação, aprovação, submissões, exceções, validação e fechamento sem perda de histórico ou acesso cruzado.</x:v>
      </x:c>
      <x:c r="J22" s="58" t="str">
        <x:v>Relatório final; evidências de testes; documentação; backlog pós-bimestre</x:v>
      </x:c>
      <x:c r="K22" s="58" t="str">
        <x:v>MVP interno integrado, ainda não classificado como pronto para piloto ou produção.</x:v>
      </x:c>
    </x:row>
  </x:sheetData>
  <x:mergeCells>
    <x:mergeCell ref="A1:K1"/>
    <x:mergeCell ref="A2:B2"/>
    <x:mergeCell ref="C2:D2"/>
    <x:mergeCell ref="E2:K2"/>
    <x:mergeCell ref="A3:B3"/>
    <x:mergeCell ref="A4:B4"/>
    <x:mergeCell ref="C3:D3"/>
    <x:mergeCell ref="C4:D4"/>
    <x:mergeCell ref="E3:F3"/>
    <x:mergeCell ref="E4:F4"/>
    <x:mergeCell ref="G3:H3"/>
    <x:mergeCell ref="G4:H4"/>
    <x:mergeCell ref="I3:K3"/>
    <x:mergeCell ref="I4:K4"/>
  </x:mergeCells>
  <x:conditionalFormatting sqref="G7:G22">
    <x:cfRule type="containsText" dxfId="0" priority="1" operator="containsText" text="Concluído"/>
    <x:cfRule type="containsText" dxfId="1" priority="2" operator="containsText" text="Em andamento"/>
    <x:cfRule type="containsText" dxfId="2" priority="3" operator="containsText" text="Em validação"/>
    <x:cfRule type="containsText" dxfId="3" priority="4" operator="containsText" text="Bloqueado"/>
    <x:cfRule type="containsText" dxfId="4" priority="5" operator="containsText" text="Planejado"/>
  </x:conditionalFormatting>
  <x:dataValidations count="2">
    <x:dataValidation type="list" sqref="G7:G22">
      <x:formula1>"Planejado,Em andamento,Em validação,Bloqueado,Concluído,Concluído com pendências"</x:formula1>
    </x:dataValidation>
    <x:dataValidation type="list" sqref="E7:E22">
      <x:formula1>"Enzo,Ariel,Enzo e Ariel"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fc588ef850421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7" hidden="0" customWidth="1"/>
    <x:col min="3" max="3" width="46" hidden="0" customWidth="1"/>
    <x:col min="4" max="4" width="24" hidden="0" customWidth="1"/>
    <x:col min="5" max="5" width="13" hidden="0" customWidth="1"/>
    <x:col min="6" max="6" width="14" hidden="0" customWidth="1"/>
    <x:col min="7" max="7" width="34" hidden="0" customWidth="1"/>
    <x:col min="8" max="8" width="20" hidden="0" customWidth="1"/>
    <x:col min="9" max="9" width="31" hidden="0" customWidth="1"/>
  </x:cols>
  <x:sheetData>
    <x:row r="1" ht="32" customHeight="1">
      <x:c r="A1" s="4" t="str">
        <x:v>DECISÕES E DEPENDÊNCIAS — BACKEND DO AGILIZA TRANSPARÊNCIA</x:v>
      </x:c>
      <x:c r="B1" s="4" t="str">
        <x:v>DECISÕES E DEPENDÊNCIAS — BACKEND DO AGILIZA TRANSPARÊNCIA</x:v>
      </x:c>
      <x:c r="C1" s="4" t="str">
        <x:v>DECISÕES E DEPENDÊNCIAS — BACKEND DO AGILIZA TRANSPARÊNCIA</x:v>
      </x:c>
      <x:c r="D1" s="4" t="str">
        <x:v>DECISÕES E DEPENDÊNCIAS — BACKEND DO AGILIZA TRANSPARÊNCIA</x:v>
      </x:c>
      <x:c r="E1" s="4" t="str">
        <x:v>DECISÕES E DEPENDÊNCIAS — BACKEND DO AGILIZA TRANSPARÊNCIA</x:v>
      </x:c>
      <x:c r="F1" s="4" t="str">
        <x:v>DECISÕES E DEPENDÊNCIAS — BACKEND DO AGILIZA TRANSPARÊNCIA</x:v>
      </x:c>
      <x:c r="G1" s="4" t="str">
        <x:v>DECISÕES E DEPENDÊNCIAS — BACKEND DO AGILIZA TRANSPARÊNCIA</x:v>
      </x:c>
      <x:c r="H1" s="4" t="str">
        <x:v>DECISÕES E DEPENDÊNCIAS — BACKEND DO AGILIZA TRANSPARÊNCIA</x:v>
      </x:c>
      <x:c r="I1" s="4" t="str">
        <x:v>DECISÕES E DEPENDÊNCIAS — BACKEND DO AGILIZA TRANSPARÊNCIA</x:v>
      </x:c>
    </x:row>
    <x:row r="2" ht="28" customHeight="1">
      <x:c r="A2" s="92" t="str">
        <x:v>Finalidade: manter regras confirmadas, dependências externas e decisões ainda abertas visíveis durante o desenvolvimento. Fallbacks permitem avançar sem transformar pendências institucionais em regras definitivas.</x:v>
      </x:c>
      <x:c r="B2" s="93"/>
      <x:c r="C2" s="93"/>
      <x:c r="D2" s="93"/>
      <x:c r="E2" s="93"/>
      <x:c r="F2" s="93"/>
      <x:c r="G2" s="93"/>
      <x:c r="H2" s="93"/>
      <x:c r="I2" s="94"/>
    </x:row>
    <x:row r="3" ht="28" customHeight="1">
      <x:c r="A3" s="95"/>
      <x:c r="B3" s="96"/>
      <x:c r="C3" s="96"/>
      <x:c r="D3" s="96"/>
      <x:c r="E3" s="96"/>
      <x:c r="F3" s="96"/>
      <x:c r="G3" s="96"/>
      <x:c r="H3" s="96"/>
      <x:c r="I3" s="97"/>
    </x:row>
    <x:row r="4" ht="10" customHeight="1"/>
    <x:row r="5" ht="42" customHeight="1">
      <x:c r="A5" s="38" t="str">
        <x:v>ID</x:v>
      </x:c>
      <x:c r="B5" s="38" t="str">
        <x:v>Decisão / Dependência</x:v>
      </x:c>
      <x:c r="C5" s="38" t="str">
        <x:v>Regra vigente ou fallback</x:v>
      </x:c>
      <x:c r="D5" s="38" t="str">
        <x:v>Responsável</x:v>
      </x:c>
      <x:c r="E5" s="38" t="str">
        <x:v>Prazo</x:v>
      </x:c>
      <x:c r="F5" s="38" t="str">
        <x:v>Criticidade</x:v>
      </x:c>
      <x:c r="G5" s="38" t="str">
        <x:v>Impacto no plano</x:v>
      </x:c>
      <x:c r="H5" s="38" t="str">
        <x:v>Status</x:v>
      </x:c>
      <x:c r="I5" s="38" t="str">
        <x:v>Evidência esperada</x:v>
      </x:c>
    </x:row>
    <x:row r="6" ht="82" customHeight="1">
      <x:c r="A6" s="109" t="str">
        <x:v>D01</x:v>
      </x:c>
      <x:c r="B6" s="102" t="str">
        <x:v>Cardinalidade do ciclo</x:v>
      </x:c>
      <x:c r="C6" s="102" t="str">
        <x:v>1 ciclo → 1 modelo-base + 1 link único → 1 coleta local por UG → N submissões identificadas.</x:v>
      </x:c>
      <x:c r="D6" s="111" t="str">
        <x:v>STC</x:v>
      </x:c>
      <x:c r="E6" s="113" t="n">
        <x:v>46237.625</x:v>
      </x:c>
      <x:c r="F6" s="111" t="str">
        <x:v>Crítica</x:v>
      </x:c>
      <x:c r="G6" s="102" t="str">
        <x:v>Orienta schema, autorização e todas as jornadas.</x:v>
      </x:c>
      <x:c r="H6" s="111" t="str">
        <x:v>Confirmado</x:v>
      </x:c>
      <x:c r="I6" s="102" t="str">
        <x:v>Contexto §31, Word v2 e fluxogramas</x:v>
      </x:c>
    </x:row>
    <x:row r="7" ht="82" customHeight="1">
      <x:c r="A7" s="110" t="str">
        <x:v>D02</x:v>
      </x:c>
      <x:c r="B7" s="106" t="str">
        <x:v>Geração universal de XLSX</x:v>
      </x:c>
      <x:c r="C7" s="106" t="str">
        <x:v>Todo objeto gera XLSX pela configuração aprovada; fixo preserva base normativa bloqueada e incorpora acréscimos permitidos.</x:v>
      </x:c>
      <x:c r="D7" s="112" t="str">
        <x:v>STC</x:v>
      </x:c>
      <x:c r="E7" s="114" t="n">
        <x:v>46237.625</x:v>
      </x:c>
      <x:c r="F7" s="112" t="str">
        <x:v>Crítica</x:v>
      </x:c>
      <x:c r="G7" s="106" t="str">
        <x:v>Afeta catálogo, versionamento e submissão.</x:v>
      </x:c>
      <x:c r="H7" s="112" t="str">
        <x:v>Confirmado</x:v>
      </x:c>
      <x:c r="I7" s="106" t="str">
        <x:v>Requisitos e funcionalidades MVP v2</x:v>
      </x:c>
    </x:row>
    <x:row r="8" ht="82" customHeight="1">
      <x:c r="A8" s="109" t="str">
        <x:v>D03</x:v>
      </x:c>
      <x:c r="B8" s="102" t="str">
        <x:v>Perfis, validação e toggle</x:v>
      </x:c>
      <x:c r="C8" s="102" t="str">
        <x:v>Analista prepara; Especialista aprova; ambos validam. Toggle é por UG e focal encaminha/devolve submissão específica.</x:v>
      </x:c>
      <x:c r="D8" s="111" t="str">
        <x:v>STC</x:v>
      </x:c>
      <x:c r="E8" s="113" t="n">
        <x:v>46237.625</x:v>
      </x:c>
      <x:c r="F8" s="111" t="str">
        <x:v>Crítica</x:v>
      </x:c>
      <x:c r="G8" s="102" t="str">
        <x:v>Define políticas, estados e API.</x:v>
      </x:c>
      <x:c r="H8" s="111" t="str">
        <x:v>Confirmado</x:v>
      </x:c>
      <x:c r="I8" s="102" t="str">
        <x:v>Matriz de permissões e fluxogramas</x:v>
      </x:c>
    </x:row>
    <x:row r="9" ht="82" customHeight="1">
      <x:c r="A9" s="110" t="str">
        <x:v>D04</x:v>
      </x:c>
      <x:c r="B9" s="106" t="str">
        <x:v>Não ocorrência</x:v>
      </x:c>
      <x:c r="C9" s="106" t="str">
        <x:v>Respondente sinaliza ao focal; focal formaliza; STC registra ciência e não rejeita.</x:v>
      </x:c>
      <x:c r="D9" s="112" t="str">
        <x:v>STC</x:v>
      </x:c>
      <x:c r="E9" s="114" t="n">
        <x:v>46237.625</x:v>
      </x:c>
      <x:c r="F9" s="112" t="str">
        <x:v>Alta</x:v>
      </x:c>
      <x:c r="G9" s="106" t="str">
        <x:v>Afeta estados, relatórios e redirecionamento.</x:v>
      </x:c>
      <x:c r="H9" s="112" t="str">
        <x:v>Confirmado</x:v>
      </x:c>
      <x:c r="I9" s="106" t="str">
        <x:v>Contexto §31 e Word v2</x:v>
      </x:c>
    </x:row>
    <x:row r="10" ht="82" customHeight="1">
      <x:c r="A10" s="109" t="str">
        <x:v>D05</x:v>
      </x:c>
      <x:c r="B10" s="102" t="str">
        <x:v>SEI, atraso e fechamento</x:v>
      </x:c>
      <x:c r="C10" s="102" t="str">
        <x:v>SEI é manual; envio atrasado exige justificativa; reiteração e fechamento são sempre manuais.</x:v>
      </x:c>
      <x:c r="D10" s="111" t="str">
        <x:v>STC</x:v>
      </x:c>
      <x:c r="E10" s="113" t="n">
        <x:v>46237.625</x:v>
      </x:c>
      <x:c r="F10" s="111" t="str">
        <x:v>Alta</x:v>
      </x:c>
      <x:c r="G10" s="102" t="str">
        <x:v>Afeta prazo, comprovantes e auditoria.</x:v>
      </x:c>
      <x:c r="H10" s="111" t="str">
        <x:v>Confirmado</x:v>
      </x:c>
      <x:c r="I10" s="102" t="str">
        <x:v>Contexto §31 e fluxo do ciclo</x:v>
      </x:c>
    </x:row>
    <x:row r="11" ht="82" customHeight="1">
      <x:c r="A11" s="110" t="str">
        <x:v>D06</x:v>
      </x:c>
      <x:c r="B11" s="106" t="str">
        <x:v>Escopo explicitamente fora do MVP</x:v>
      </x:c>
      <x:c r="C11" s="106" t="str">
        <x:v>Gestão administrativa do Tesauro, IA, ranking, WhatsApp/OCR, integração com SIMONI e automação do SEI permanecem fora do MVP.</x:v>
      </x:c>
      <x:c r="D11" s="112" t="str">
        <x:v>STC</x:v>
      </x:c>
      <x:c r="E11" s="114" t="n">
        <x:v>46237.625</x:v>
      </x:c>
      <x:c r="F11" s="112" t="str">
        <x:v>Alta</x:v>
      </x:c>
      <x:c r="G11" s="106" t="str">
        <x:v>Evita ampliar o bimestre e criar integrações sem decisão institucional.</x:v>
      </x:c>
      <x:c r="H11" s="112" t="str">
        <x:v>Confirmado</x:v>
      </x:c>
      <x:c r="I11" s="106" t="str">
        <x:v>Requisitos MVP v2 e roadmap</x:v>
      </x:c>
    </x:row>
    <x:row r="12" ht="82" customHeight="1">
      <x:c r="A12" s="109" t="str">
        <x:v>P01</x:v>
      </x:c>
      <x:c r="B12" s="102" t="str">
        <x:v>Fonte e vínculo CPF–UG</x:v>
      </x:c>
      <x:c r="C12" s="102" t="str">
        <x:v>Manter provedor de identidade desacoplado e usar usuários de teste controlados até a definição com PM/STI.</x:v>
      </x:c>
      <x:c r="D12" s="111" t="str">
        <x:v>STC / PM / STI</x:v>
      </x:c>
      <x:c r="E12" s="113" t="n">
        <x:v>46248.625</x:v>
      </x:c>
      <x:c r="F12" s="111" t="str">
        <x:v>Crítica</x:v>
      </x:c>
      <x:c r="G12" s="102" t="str">
        <x:v>Condiciona autenticação definitiva e implantação.</x:v>
      </x:c>
      <x:c r="H12" s="111" t="str">
        <x:v>Pendente</x:v>
      </x:c>
      <x:c r="I12" s="102" t="str">
        <x:v>Parecer da fonte de identidade e regra de vínculo</x:v>
      </x:c>
    </x:row>
    <x:row r="13" ht="82" customHeight="1">
      <x:c r="A13" s="110" t="str">
        <x:v>P02</x:v>
      </x:c>
      <x:c r="B13" s="106" t="str">
        <x:v>Tesauro atualizado</x:v>
      </x:c>
      <x:c r="C13" s="106" t="str">
        <x:v>Consumir a última versão oficialmente validada; manter MT-0050, MT-0054, MT-0055 e MT-0056 indisponíveis.</x:v>
      </x:c>
      <x:c r="D13" s="112" t="str">
        <x:v>Alessandra / STC</x:v>
      </x:c>
      <x:c r="E13" s="114" t="n">
        <x:v>46255.625</x:v>
      </x:c>
      <x:c r="F13" s="112" t="str">
        <x:v>Crítica</x:v>
      </x:c>
      <x:c r="G13" s="106" t="str">
        <x:v>Condiciona importação e teste de objetos.</x:v>
      </x:c>
      <x:c r="H13" s="112" t="str">
        <x:v>Dependência externa</x:v>
      </x:c>
      <x:c r="I13" s="106" t="str">
        <x:v>Arquivo oficial e registro da versão</x:v>
      </x:c>
    </x:row>
    <x:row r="14" ht="82" customHeight="1">
      <x:c r="A14" s="109" t="str">
        <x:v>P03</x:v>
      </x:c>
      <x:c r="B14" s="102" t="str">
        <x:v>Matriz objeto × UG</x:v>
      </x:c>
      <x:c r="C14" s="102" t="str">
        <x:v>Tratar somente como sugestão; Analista seleciona UGs explicitamente.</x:v>
      </x:c>
      <x:c r="D14" s="111" t="str">
        <x:v>Alessandra / STC</x:v>
      </x:c>
      <x:c r="E14" s="113" t="n">
        <x:v>46255.625</x:v>
      </x:c>
      <x:c r="F14" s="111" t="str">
        <x:v>Alta</x:v>
      </x:c>
      <x:c r="G14" s="102" t="str">
        <x:v>Afeta recomendação de destinatários, não a criação manual.</x:v>
      </x:c>
      <x:c r="H14" s="111" t="str">
        <x:v>Pendente</x:v>
      </x:c>
      <x:c r="I14" s="102" t="str">
        <x:v>Matriz validada para objetos priorizados</x:v>
      </x:c>
    </x:row>
    <x:row r="15" ht="82" customHeight="1">
      <x:c r="A15" s="110" t="str">
        <x:v>P04</x:v>
      </x:c>
      <x:c r="B15" s="106" t="str">
        <x:v>Upload e armazenamento</x:v>
      </x:c>
      <x:c r="C15" s="106" t="str">
        <x:v>Limites ficam configuráveis; usar Laravel Filesystem com disco local no desenvolvimento e provedor da STC por adaptador.</x:v>
      </x:c>
      <x:c r="D15" s="112" t="str">
        <x:v>STC / Infraestrutura</x:v>
      </x:c>
      <x:c r="E15" s="114" t="n">
        <x:v>46269.625</x:v>
      </x:c>
      <x:c r="F15" s="112" t="str">
        <x:v>Crítica</x:v>
      </x:c>
      <x:c r="G15" s="106" t="str">
        <x:v>Afeta volume, segurança, mensagens e deploy.</x:v>
      </x:c>
      <x:c r="H15" s="112" t="str">
        <x:v>Pendente</x:v>
      </x:c>
      <x:c r="I15" s="106" t="str">
        <x:v>Política de upload e provedor de arquivos</x:v>
      </x:c>
    </x:row>
    <x:row r="16" ht="82" customHeight="1">
      <x:c r="A16" s="109" t="str">
        <x:v>P05</x:v>
      </x:c>
      <x:c r="B16" s="102" t="str">
        <x:v>LGPD, restrição e retenção</x:v>
      </x:c>
      <x:c r="C16" s="102" t="str">
        <x:v>Aplicar visibilidade restrita já aprovada; não criar descarte automático até existir política de retenção.</x:v>
      </x:c>
      <x:c r="D16" s="111" t="str">
        <x:v>STC / Jurídico / STI</x:v>
      </x:c>
      <x:c r="E16" s="113" t="n">
        <x:v>46269.625</x:v>
      </x:c>
      <x:c r="F16" s="111" t="str">
        <x:v>Crítica</x:v>
      </x:c>
      <x:c r="G16" s="102" t="str">
        <x:v>Afeta acesso, logs, backups e operação.</x:v>
      </x:c>
      <x:c r="H16" s="111" t="str">
        <x:v>Pendente</x:v>
      </x:c>
      <x:c r="I16" s="102" t="str">
        <x:v>Política de classificação e retenção</x:v>
      </x:c>
    </x:row>
    <x:row r="17" ht="82" customHeight="1">
      <x:c r="A17" s="110" t="str">
        <x:v>P06</x:v>
      </x:c>
      <x:c r="B17" s="106" t="str">
        <x:v>Janela de envio atrasado</x:v>
      </x:c>
      <x:c r="C17" s="106" t="str">
        <x:v>Não fixar dias no domínio; controlar abertura por configuração/ação explícita e exigir justificativa enquanto o envio estiver permitido.</x:v>
      </x:c>
      <x:c r="D17" s="112" t="str">
        <x:v>STC</x:v>
      </x:c>
      <x:c r="E17" s="114" t="n">
        <x:v>46276.625</x:v>
      </x:c>
      <x:c r="F17" s="112" t="str">
        <x:v>Alta</x:v>
      </x:c>
      <x:c r="G17" s="106" t="str">
        <x:v>Afeta estados finais e testes de prazo.</x:v>
      </x:c>
      <x:c r="H17" s="112" t="str">
        <x:v>Pendente</x:v>
      </x:c>
      <x:c r="I17" s="106" t="str">
        <x:v>Decisão sobre duração e forma de abertura</x:v>
      </x:c>
    </x:row>
    <x:row r="18" ht="82" customHeight="1">
      <x:c r="A18" s="109" t="str">
        <x:v>P07</x:v>
      </x:c>
      <x:c r="B18" s="102" t="str">
        <x:v>Redirecionamento com submissões</x:v>
      </x:c>
      <x:c r="C18" s="102" t="str">
        <x:v>Registrar indicação e decisão; não transferir automaticamente planilhas, anexos ou conteúdo restrito.</x:v>
      </x:c>
      <x:c r="D18" s="111" t="str">
        <x:v>STC</x:v>
      </x:c>
      <x:c r="E18" s="113" t="n">
        <x:v>46283.625</x:v>
      </x:c>
      <x:c r="F18" s="111" t="str">
        <x:v>Alta</x:v>
      </x:c>
      <x:c r="G18" s="102" t="str">
        <x:v>Afeta autorização, histórico e proteção de dados.</x:v>
      </x:c>
      <x:c r="H18" s="111" t="str">
        <x:v>Pendente</x:v>
      </x:c>
      <x:c r="I18" s="102" t="str">
        <x:v>Regra institucional para dados já enviados</x:v>
      </x:c>
    </x:row>
    <x:row r="19" ht="82" customHeight="1">
      <x:c r="A19" s="110" t="str">
        <x:v>P08</x:v>
      </x:c>
      <x:c r="B19" s="106" t="str">
        <x:v>E-mail, infraestrutura e deploy</x:v>
      </x:c>
      <x:c r="C19" s="106" t="str">
        <x:v>Usar adaptadores testáveis; ativar provedores e ambiente da STC quando endereços, segredos e topologia forem entregues.</x:v>
      </x:c>
      <x:c r="D19" s="112" t="str">
        <x:v>Equipe técnica STC</x:v>
      </x:c>
      <x:c r="E19" s="114" t="n">
        <x:v>46283.625</x:v>
      </x:c>
      <x:c r="F19" s="112" t="str">
        <x:v>Crítica</x:v>
      </x:c>
      <x:c r="G19" s="106" t="str">
        <x:v>Condiciona staging, notificações e roadmap de produção.</x:v>
      </x:c>
      <x:c r="H19" s="112" t="str">
        <x:v>Dependência externa</x:v>
      </x:c>
      <x:c r="I19" s="106" t="str">
        <x:v>Ambiente, domínio, certificados, SMTP e runbook</x:v>
      </x:c>
    </x:row>
    <x:row r="20" ht="82" customHeight="1">
      <x:c r="A20" s="109" t="str">
        <x:v>P09</x:v>
      </x:c>
      <x:c r="B20" s="102" t="str">
        <x:v>Objeto e UGs do piloto</x:v>
      </x:c>
      <x:c r="C20" s="102" t="str">
        <x:v>Não fixar no código nem comprometer o bimestre; selecionar após o MVP interno integrado.</x:v>
      </x:c>
      <x:c r="D20" s="111" t="str">
        <x:v>Alessandra / STC</x:v>
      </x:c>
      <x:c r="E20" s="113" t="n">
        <x:v>46290.625</x:v>
      </x:c>
      <x:c r="F20" s="111" t="str">
        <x:v>Alta</x:v>
      </x:c>
      <x:c r="G20" s="102" t="str">
        <x:v>Condiciona homologação e Sprint 11.</x:v>
      </x:c>
      <x:c r="H20" s="111" t="str">
        <x:v>Pendente</x:v>
      </x:c>
      <x:c r="I20" s="102" t="str">
        <x:v>Objeto, UGs, adjuntas e usuários aprovados</x:v>
      </x:c>
    </x:row>
    <x:row r="21" ht="82" customHeight="1">
      <x:c r="A21" s="110" t="str">
        <x:v>P10</x:v>
      </x:c>
      <x:c r="B21" s="106" t="str">
        <x:v>Cobranças, lembretes e efeito no SEI</x:v>
      </x:c>
      <x:c r="C21" s="106" t="str">
        <x:v>Usar observação genérica enquanto os dados mínimos estiverem abertos; lembrete não altera prazo e somente comunicação formal registrada produz esse efeito.</x:v>
      </x:c>
      <x:c r="D21" s="112" t="str">
        <x:v>Alessandra / STC</x:v>
      </x:c>
      <x:c r="E21" s="114" t="n">
        <x:v>46283.625</x:v>
      </x:c>
      <x:c r="F21" s="112" t="str">
        <x:v>Alta</x:v>
      </x:c>
      <x:c r="G21" s="106" t="str">
        <x:v>Afeta notificações, auditoria, prazo e comprovantes.</x:v>
      </x:c>
      <x:c r="H21" s="112" t="str">
        <x:v>Pendente</x:v>
      </x:c>
      <x:c r="I21" s="106" t="str">
        <x:v>Regra institucional de cobrança e efeito no prazo</x:v>
      </x:c>
    </x:row>
    <x:row r="22" ht="82" customHeight="1">
      <x:c r="A22" s="109" t="str">
        <x:v>P11</x:v>
      </x:c>
      <x:c r="B22" s="102" t="str">
        <x:v>Obras e aditivos</x:v>
      </x:c>
      <x:c r="C22" s="102" t="str">
        <x:v>Usar o fluxo XLSX genérico e conferência manual até existir modelo oficial para obras, aditivos e sua correlação.</x:v>
      </x:c>
      <x:c r="D22" s="111" t="str">
        <x:v>Alessandra / STC</x:v>
      </x:c>
      <x:c r="E22" s="113" t="n">
        <x:v>46283.625</x:v>
      </x:c>
      <x:c r="F22" s="111" t="str">
        <x:v>Média</x:v>
      </x:c>
      <x:c r="G22" s="102" t="str">
        <x:v>Afeta geração de planilha e validação de objetos específicos.</x:v>
      </x:c>
      <x:c r="H22" s="111" t="str">
        <x:v>Pendente</x:v>
      </x:c>
      <x:c r="I22" s="102" t="str">
        <x:v>Modelo oficial ou decisão de manter fluxo genérico</x:v>
      </x:c>
    </x:row>
  </x:sheetData>
  <x:mergeCells>
    <x:mergeCell ref="A1:I1"/>
    <x:mergeCell ref="A2:I3"/>
  </x:mergeCells>
  <x:conditionalFormatting sqref="H6:H22">
    <x:cfRule type="containsText" dxfId="5" priority="1" operator="containsText" text="Concluído"/>
    <x:cfRule type="containsText" dxfId="6" priority="2" operator="containsText" text="Em andamento"/>
    <x:cfRule type="containsText" dxfId="7" priority="3" operator="containsText" text="Em validação"/>
    <x:cfRule type="containsText" dxfId="8" priority="4" operator="containsText" text="Bloqueado"/>
    <x:cfRule type="containsText" dxfId="9" priority="5" operator="containsText" text="Planejado"/>
    <x:cfRule type="containsText" dxfId="10" priority="6" operator="containsText" text="Confirmado"/>
    <x:cfRule type="containsText" dxfId="11" priority="7" operator="containsText" text="Dependência externa"/>
  </x:conditionalFormatting>
  <x:dataValidations count="2">
    <x:dataValidation type="list" sqref="F6:F22">
      <x:formula1>"Crítica,Alta,Média,Baixa"</x:formula1>
    </x:dataValidation>
    <x:dataValidation type="list" sqref="H6:H22">
      <x:formula1>"Confirmado,Pendente,Em validação,Dependência externa,Resolvido"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3db3f3e76443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7" hidden="0" customWidth="1"/>
    <x:col min="3" max="3" width="46" hidden="0" customWidth="1"/>
    <x:col min="4" max="4" width="23" hidden="0" customWidth="1"/>
    <x:col min="5" max="5" width="24" hidden="0" customWidth="1"/>
    <x:col min="6" max="6" width="13" hidden="0" customWidth="1"/>
    <x:col min="7" max="7" width="38" hidden="0" customWidth="1"/>
    <x:col min="8" max="8" width="18" hidden="0" customWidth="1"/>
    <x:col min="9" max="9" width="36" hidden="0" customWidth="1"/>
  </x:cols>
  <x:sheetData>
    <x:row r="1" ht="32" customHeight="1">
      <x:c r="A1" s="4" t="str">
        <x:v>ATUAÇÕES INSTITUCIONAIS DA ALESSANDRA — STC</x:v>
      </x:c>
      <x:c r="B1" s="4" t="str">
        <x:v>ATUAÇÕES INSTITUCIONAIS DA ALESSANDRA — STC</x:v>
      </x:c>
      <x:c r="C1" s="4" t="str">
        <x:v>ATUAÇÕES INSTITUCIONAIS DA ALESSANDRA — STC</x:v>
      </x:c>
      <x:c r="D1" s="4" t="str">
        <x:v>ATUAÇÕES INSTITUCIONAIS DA ALESSANDRA — STC</x:v>
      </x:c>
      <x:c r="E1" s="4" t="str">
        <x:v>ATUAÇÕES INSTITUCIONAIS DA ALESSANDRA — STC</x:v>
      </x:c>
      <x:c r="F1" s="4" t="str">
        <x:v>ATUAÇÕES INSTITUCIONAIS DA ALESSANDRA — STC</x:v>
      </x:c>
      <x:c r="G1" s="4" t="str">
        <x:v>ATUAÇÕES INSTITUCIONAIS DA ALESSANDRA — STC</x:v>
      </x:c>
      <x:c r="H1" s="4" t="str">
        <x:v>ATUAÇÕES INSTITUCIONAIS DA ALESSANDRA — STC</x:v>
      </x:c>
      <x:c r="I1" s="4" t="str">
        <x:v>ATUAÇÕES INSTITUCIONAIS DA ALESSANDRA — STC</x:v>
      </x:c>
    </x:row>
    <x:row r="2" ht="30" customHeight="1">
      <x:c r="A2" s="92" t="str">
        <x:v>Esta aba separa as responsabilidades institucionais da Alessandra/STC das demandas de implementação de Enzo e Ariel. As entregas abaixo fornecem decisões, dados e validações necessárias ao desenvolvimento, sem transferir responsabilidade técnica de implementação.</x:v>
      </x:c>
      <x:c r="B2" s="93"/>
      <x:c r="C2" s="93"/>
      <x:c r="D2" s="93"/>
      <x:c r="E2" s="93"/>
      <x:c r="F2" s="93"/>
      <x:c r="G2" s="93"/>
      <x:c r="H2" s="93"/>
      <x:c r="I2" s="94"/>
    </x:row>
    <x:row r="3" ht="30" customHeight="1">
      <x:c r="A3" s="95"/>
      <x:c r="B3" s="96"/>
      <x:c r="C3" s="96"/>
      <x:c r="D3" s="96"/>
      <x:c r="E3" s="96"/>
      <x:c r="F3" s="96"/>
      <x:c r="G3" s="96"/>
      <x:c r="H3" s="96"/>
      <x:c r="I3" s="97"/>
    </x:row>
    <x:row r="4" ht="10" customHeight="1"/>
    <x:row r="5" ht="42" customHeight="1">
      <x:c r="A5" s="38" t="str">
        <x:v>ID</x:v>
      </x:c>
      <x:c r="B5" s="38" t="str">
        <x:v>Atuação institucional</x:v>
      </x:c>
      <x:c r="C5" s="38" t="str">
        <x:v>Entrega ou decisão esperada</x:v>
      </x:c>
      <x:c r="D5" s="38" t="str">
        <x:v>Responsável</x:v>
      </x:c>
      <x:c r="E5" s="38" t="str">
        <x:v>Sprint ou marco relacionado</x:v>
      </x:c>
      <x:c r="F5" s="38" t="str">
        <x:v>Prazo</x:v>
      </x:c>
      <x:c r="G5" s="38" t="str">
        <x:v>Impacto no desenvolvimento</x:v>
      </x:c>
      <x:c r="H5" s="38" t="str">
        <x:v>Status</x:v>
      </x:c>
      <x:c r="I5" s="38" t="str">
        <x:v>Evidência esperada</x:v>
      </x:c>
    </x:row>
    <x:row r="6" ht="86" customHeight="1">
      <x:c r="A6" s="120" t="str">
        <x:v>A01</x:v>
      </x:c>
      <x:c r="B6" s="118" t="str">
        <x:v>Regras, perfis e estados</x:v>
      </x:c>
      <x:c r="C6" s="118" t="str">
        <x:v>Validar divergências residuais nas regras de negócio, permissões dos quatro perfis e transições do ciclo.</x:v>
      </x:c>
      <x:c r="D6" s="121" t="str">
        <x:v>Alessandra / STC</x:v>
      </x:c>
      <x:c r="E6" s="121" t="str">
        <x:v>Sprint 6</x:v>
      </x:c>
      <x:c r="F6" s="122" t="n">
        <x:v>46248.625</x:v>
      </x:c>
      <x:c r="G6" s="118" t="str">
        <x:v>Evita implementar permissões ou estados com interpretação diferente da STC.</x:v>
      </x:c>
      <x:c r="H6" s="121" t="str">
        <x:v>Planejado</x:v>
      </x:c>
      <x:c r="I6" s="118" t="str">
        <x:v>Matriz ou registro de validação institucional</x:v>
      </x:c>
    </x:row>
    <x:row r="7" ht="86" customHeight="1">
      <x:c r="A7" s="110" t="str">
        <x:v>A02</x:v>
      </x:c>
      <x:c r="B7" s="106" t="str">
        <x:v>Tesauro oficial</x:v>
      </x:c>
      <x:c r="C7" s="106" t="str">
        <x:v>Entregar e validar a versão oficial vigente do Tesauro, com registro da versão adotada e dos metadados disponíveis.</x:v>
      </x:c>
      <x:c r="D7" s="112" t="str">
        <x:v>Alessandra / STC</x:v>
      </x:c>
      <x:c r="E7" s="112" t="str">
        <x:v>Sprint 7</x:v>
      </x:c>
      <x:c r="F7" s="114" t="n">
        <x:v>46255.625</x:v>
      </x:c>
      <x:c r="G7" s="106" t="str">
        <x:v>Libera importação, geração de XLSX e testes de objetos oficiais.</x:v>
      </x:c>
      <x:c r="H7" s="112" t="str">
        <x:v>Planejado</x:v>
      </x:c>
      <x:c r="I7" s="106" t="str">
        <x:v>Arquivo oficial e registro da versão validada</x:v>
      </x:c>
    </x:row>
    <x:row r="8" ht="86" customHeight="1">
      <x:c r="A8" s="120" t="str">
        <x:v>A03</x:v>
      </x:c>
      <x:c r="B8" s="118" t="str">
        <x:v>Matriz objeto × UG</x:v>
      </x:c>
      <x:c r="C8" s="118" t="str">
        <x:v>Validar o mapeamento objeto–UG como fonte de sugestão, sem seleção automática de destinatários.</x:v>
      </x:c>
      <x:c r="D8" s="121" t="str">
        <x:v>Alessandra / STC</x:v>
      </x:c>
      <x:c r="E8" s="121" t="str">
        <x:v>Sprint 7</x:v>
      </x:c>
      <x:c r="F8" s="122" t="n">
        <x:v>46255.625</x:v>
      </x:c>
      <x:c r="G8" s="118" t="str">
        <x:v>Melhora a recomendação de UGs sem impedir a seleção manual pelo Analista.</x:v>
      </x:c>
      <x:c r="H8" s="121" t="str">
        <x:v>Planejado</x:v>
      </x:c>
      <x:c r="I8" s="118" t="str">
        <x:v>Matriz validada para os objetos priorizados</x:v>
      </x:c>
    </x:row>
    <x:row r="9" ht="86" customHeight="1">
      <x:c r="A9" s="110" t="str">
        <x:v>A04</x:v>
      </x:c>
      <x:c r="B9" s="106" t="str">
        <x:v>Classificação dos objetos</x:v>
      </x:c>
      <x:c r="C9" s="106" t="str">
        <x:v>Confirmar objetos automatizados e manter indisponíveis os objetos sem metadados oficiais, incluindo MT-0050, MT-0054, MT-0055 e MT-0056.</x:v>
      </x:c>
      <x:c r="D9" s="112" t="str">
        <x:v>Alessandra / STC</x:v>
      </x:c>
      <x:c r="E9" s="112" t="str">
        <x:v>Sprint 7</x:v>
      </x:c>
      <x:c r="F9" s="114" t="n">
        <x:v>46255.625</x:v>
      </x:c>
      <x:c r="G9" s="106" t="str">
        <x:v>Define quais objetos podem aparecer na criação manual do ciclo.</x:v>
      </x:c>
      <x:c r="H9" s="112" t="str">
        <x:v>Planejado</x:v>
      </x:c>
      <x:c r="I9" s="106" t="str">
        <x:v>Lista de objetos com classificação e justificativa</x:v>
      </x:c>
    </x:row>
    <x:row r="10" ht="86" customHeight="1">
      <x:c r="A10" s="120" t="str">
        <x:v>A05</x:v>
      </x:c>
      <x:c r="B10" s="118" t="str">
        <x:v>Governança do escopo</x:v>
      </x:c>
      <x:c r="C10" s="118" t="str">
        <x:v>Validar o que pertence ao MVP, o que fica para a v2 e o que está fora de escopo, registrando decisões que alterem prioridade ou aceite.</x:v>
      </x:c>
      <x:c r="D10" s="121" t="str">
        <x:v>Alessandra / STC</x:v>
      </x:c>
      <x:c r="E10" s="121" t="str">
        <x:v>Sprints 6–9</x:v>
      </x:c>
      <x:c r="F10" s="122" t="n">
        <x:v>46290.625</x:v>
      </x:c>
      <x:c r="G10" s="118" t="str">
        <x:v>Evita expansão informal do bimestre e critérios de aceite contraditórios.</x:v>
      </x:c>
      <x:c r="H10" s="121" t="str">
        <x:v>Planejado</x:v>
      </x:c>
      <x:c r="I10" s="118" t="str">
        <x:v>Backlog institucional validado e decisões registradas</x:v>
      </x:c>
    </x:row>
    <x:row r="11" ht="86" customHeight="1">
      <x:c r="A11" s="110" t="str">
        <x:v>A06</x:v>
      </x:c>
      <x:c r="B11" s="106" t="str">
        <x:v>Norma, SEI, LGPD e retenção</x:v>
      </x:c>
      <x:c r="C11" s="106" t="str">
        <x:v>Articular com a STC, o Jurídico e a STI a compatibilização normativa, o uso manual do SEI e as políticas de classificação e retenção ainda abertas.</x:v>
      </x:c>
      <x:c r="D11" s="112" t="str">
        <x:v>Alessandra / STC</x:v>
      </x:c>
      <x:c r="E11" s="112" t="str">
        <x:v>Sprint 8</x:v>
      </x:c>
      <x:c r="F11" s="114" t="n">
        <x:v>46269.625</x:v>
      </x:c>
      <x:c r="G11" s="106" t="str">
        <x:v>Afeta acesso restrito, logs, armazenamento, comprovantes e operação institucional.</x:v>
      </x:c>
      <x:c r="H11" s="112" t="str">
        <x:v>Planejado</x:v>
      </x:c>
      <x:c r="I11" s="106" t="str">
        <x:v>Quadro de decisões, parecer ou encaminhamento formal</x:v>
      </x:c>
    </x:row>
    <x:row r="12" ht="86" customHeight="1">
      <x:c r="A12" s="120" t="str">
        <x:v>A07</x:v>
      </x:c>
      <x:c r="B12" s="118" t="str">
        <x:v>Exceções operacionais</x:v>
      </x:c>
      <x:c r="C12" s="118" t="str">
        <x:v>Decidir regras institucionais pendentes sobre envio atrasado, cobranças, redirecionamento e tratamento de dados já submetidos.</x:v>
      </x:c>
      <x:c r="D12" s="121" t="str">
        <x:v>Alessandra / STC</x:v>
      </x:c>
      <x:c r="E12" s="121" t="str">
        <x:v>Sprint 9</x:v>
      </x:c>
      <x:c r="F12" s="122" t="n">
        <x:v>46283.625</x:v>
      </x:c>
      <x:c r="G12" s="118" t="str">
        <x:v>Define comportamento final de prazo, notificações e redirecionamento.</x:v>
      </x:c>
      <x:c r="H12" s="121" t="str">
        <x:v>Planejado</x:v>
      </x:c>
      <x:c r="I12" s="118" t="str">
        <x:v>Decisões registradas com regra e evidência</x:v>
      </x:c>
    </x:row>
    <x:row r="13" ht="86" customHeight="1">
      <x:c r="A13" s="110" t="str">
        <x:v>A08</x:v>
      </x:c>
      <x:c r="B13" s="106" t="str">
        <x:v>Revisões institucionais</x:v>
      </x:c>
      <x:c r="C13" s="106" t="str">
        <x:v>Participar das revisões das Sprints 6–9, validar demonstrações e registrar aceite, ressalvas ou ajustes solicitados.</x:v>
      </x:c>
      <x:c r="D13" s="112" t="str">
        <x:v>Alessandra / STC</x:v>
      </x:c>
      <x:c r="E13" s="112" t="str">
        <x:v>Fim de cada Sprint</x:v>
      </x:c>
      <x:c r="F13" s="114" t="n">
        <x:v>46290.625</x:v>
      </x:c>
      <x:c r="G13" s="106" t="str">
        <x:v>Mantém produto, documentação e entendimento institucional sincronizados.</x:v>
      </x:c>
      <x:c r="H13" s="112" t="str">
        <x:v>Planejado</x:v>
      </x:c>
      <x:c r="I13" s="106" t="str">
        <x:v>Atas, relatórios ou registros de validação das sprints</x:v>
      </x:c>
    </x:row>
    <x:row r="14" ht="86" customHeight="1">
      <x:c r="A14" s="120" t="str">
        <x:v>A09</x:v>
      </x:c>
      <x:c r="B14" s="118" t="str">
        <x:v>Preparação futura do piloto</x:v>
      </x:c>
      <x:c r="C14" s="118" t="str">
        <x:v>Selecionar objeto, UGs, adjuntas e usuários após o MVP interno e antes do início do piloto institucional.</x:v>
      </x:c>
      <x:c r="D14" s="121" t="str">
        <x:v>Alessandra / STC</x:v>
      </x:c>
      <x:c r="E14" s="121" t="str">
        <x:v>Roadmap — Sprint 11</x:v>
      </x:c>
      <x:c r="F14" s="122" t="n">
        <x:v>46318.625</x:v>
      </x:c>
      <x:c r="G14" s="118" t="str">
        <x:v>Condiciona homologação, dados controlados e execução do piloto assistido.</x:v>
      </x:c>
      <x:c r="H14" s="121" t="str">
        <x:v>Planejado</x:v>
      </x:c>
      <x:c r="I14" s="118" t="str">
        <x:v>Lista institucional de objeto, UGs, adjuntas e usuários</x:v>
      </x:c>
    </x:row>
  </x:sheetData>
  <x:mergeCells>
    <x:mergeCell ref="A1:I1"/>
    <x:mergeCell ref="A2:I3"/>
  </x:mergeCells>
  <x:conditionalFormatting sqref="H6:H14">
    <x:cfRule type="containsText" dxfId="12" priority="1" operator="containsText" text="Concluído"/>
    <x:cfRule type="containsText" dxfId="13" priority="2" operator="containsText" text="Em andamento"/>
    <x:cfRule type="containsText" dxfId="14" priority="3" operator="containsText" text="Em validação"/>
    <x:cfRule type="containsText" dxfId="15" priority="4" operator="containsText" text="Bloqueado"/>
    <x:cfRule type="containsText" dxfId="16" priority="5" operator="containsText" text="Planejado"/>
  </x:conditionalFormatting>
  <x:dataValidations count="1">
    <x:dataValidation type="list" sqref="H6:H14">
      <x:formula1>"Planejado,Em andamento,Em validação,Bloqueado,Concluído"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72a2a89f534a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5" hidden="0" customWidth="1"/>
    <x:col min="3" max="3" width="33" hidden="0" customWidth="1"/>
    <x:col min="4" max="4" width="43" hidden="0" customWidth="1"/>
    <x:col min="5" max="5" width="29" hidden="0" customWidth="1"/>
    <x:col min="6" max="6" width="38" hidden="0" customWidth="1"/>
    <x:col min="7" max="7" width="40" hidden="0" customWidth="1"/>
    <x:col min="8" max="8" width="20" hidden="0" customWidth="1"/>
  </x:cols>
  <x:sheetData>
    <x:row r="1" ht="32" customHeight="1">
      <x:c r="A1" s="4" t="str">
        <x:v>ROADMAP PÓS-BIMESTRE — PREVISÃO PARA HOMOLOGAÇÃO E PILOTO</x:v>
      </x:c>
      <x:c r="B1" s="4" t="str">
        <x:v>ROADMAP PÓS-BIMESTRE — PREVISÃO PARA HOMOLOGAÇÃO E PILOTO</x:v>
      </x:c>
      <x:c r="C1" s="4" t="str">
        <x:v>ROADMAP PÓS-BIMESTRE — PREVISÃO PARA HOMOLOGAÇÃO E PILOTO</x:v>
      </x:c>
      <x:c r="D1" s="4" t="str">
        <x:v>ROADMAP PÓS-BIMESTRE — PREVISÃO PARA HOMOLOGAÇÃO E PILOTO</x:v>
      </x:c>
      <x:c r="E1" s="4" t="str">
        <x:v>ROADMAP PÓS-BIMESTRE — PREVISÃO PARA HOMOLOGAÇÃO E PILOTO</x:v>
      </x:c>
      <x:c r="F1" s="4" t="str">
        <x:v>ROADMAP PÓS-BIMESTRE — PREVISÃO PARA HOMOLOGAÇÃO E PILOTO</x:v>
      </x:c>
      <x:c r="G1" s="4" t="str">
        <x:v>ROADMAP PÓS-BIMESTRE — PREVISÃO PARA HOMOLOGAÇÃO E PILOTO</x:v>
      </x:c>
      <x:c r="H1" s="4" t="str">
        <x:v>ROADMAP PÓS-BIMESTRE — PREVISÃO PARA HOMOLOGAÇÃO E PILOTO</x:v>
      </x:c>
    </x:row>
    <x:row r="2" ht="28" customHeight="1">
      <x:c r="A2" s="92" t="str">
        <x:v>Este roadmap é indicativo e não compõe o compromisso de entrega até 25/09/2026. Datas e conteúdo serão reestimados com base no resultado do MVP interno e nas dependências fornecidas pela STC.</x:v>
      </x:c>
      <x:c r="B2" s="93"/>
      <x:c r="C2" s="93"/>
      <x:c r="D2" s="93"/>
      <x:c r="E2" s="93"/>
      <x:c r="F2" s="93"/>
      <x:c r="G2" s="93"/>
      <x:c r="H2" s="94"/>
    </x:row>
    <x:row r="3" ht="28" customHeight="1">
      <x:c r="A3" s="95"/>
      <x:c r="B3" s="96"/>
      <x:c r="C3" s="96"/>
      <x:c r="D3" s="96"/>
      <x:c r="E3" s="96"/>
      <x:c r="F3" s="96"/>
      <x:c r="G3" s="96"/>
      <x:c r="H3" s="97"/>
    </x:row>
    <x:row r="4" ht="10" customHeight="1"/>
    <x:row r="5" ht="42" customHeight="1">
      <x:c r="A5" s="38" t="str">
        <x:v>Período / Sprint</x:v>
      </x:c>
      <x:c r="B5" s="38" t="str">
        <x:v>Objetivo</x:v>
      </x:c>
      <x:c r="C5" s="38" t="str">
        <x:v>Entregável</x:v>
      </x:c>
      <x:c r="D5" s="38" t="str">
        <x:v>Atividades principais</x:v>
      </x:c>
      <x:c r="E5" s="38" t="str">
        <x:v>Responsáveis</x:v>
      </x:c>
      <x:c r="F5" s="38" t="str">
        <x:v>Dependências</x:v>
      </x:c>
      <x:c r="G5" s="38" t="str">
        <x:v>Critério de saída</x:v>
      </x:c>
      <x:c r="H5" s="38" t="str">
        <x:v>Natureza</x:v>
      </x:c>
    </x:row>
    <x:row r="6" ht="112" customHeight="1">
      <x:c r="A6" s="129" t="str">
        <x:v>28/09 a 09/10/2026
Sprint 10</x:v>
      </x:c>
      <x:c r="B6" s="128" t="str">
        <x:v>Hardening e staging (reforçar segurança e preparar a homologação)</x:v>
      </x:c>
      <x:c r="C6" s="127" t="str">
        <x:v>Ambiente de homologação estável (versão segura para testes institucionais)</x:v>
      </x:c>
      <x:c r="D6" s="127" t="str">
        <x:v>• Revisar segurança
• Configurar observabilidade
• Validar backup e recuperação
• Ativar e-mail e armazenamento da STC
• Automatizar deploy
• Executar testes de carga essenciais</x:v>
      </x:c>
      <x:c r="E6" s="130" t="str">
        <x:v>Enzo e Ariel</x:v>
      </x:c>
      <x:c r="F6" s="127" t="str">
        <x:v>Apoio da equipe técnica STC; infraestrutura, segredos, domínio, certificados e políticas mínimas</x:v>
      </x:c>
      <x:c r="G6" s="127" t="str">
        <x:v>Build reproduzível em staging, alertas básicos e runbook de operação testado.</x:v>
      </x:c>
      <x:c r="H6" s="133" t="str">
        <x:v>Roadmap indicativo</x:v>
      </x:c>
    </x:row>
    <x:row r="7" ht="112" customHeight="1">
      <x:c r="A7" s="110" t="str">
        <x:v>12 a 23/10/2026
Sprint 11</x:v>
      </x:c>
      <x:c r="B7" s="108" t="str">
        <x:v>Homologação e preparação do piloto (validar com a STC e preparar dados e usuários)</x:v>
      </x:c>
      <x:c r="C7" s="106" t="str">
        <x:v>Versão homologável com dados e usuários de teste (produto pronto para avaliação institucional)</x:v>
      </x:c>
      <x:c r="D7" s="106" t="str">
        <x:v>• Selecionar objeto e UGs
• Carregar dados controlados
• Executar UAT com STC
• Preparar onboarding e materiais
• Corrigir falhas bloqueantes
• Emitir decisão de entrada no piloto</x:v>
      </x:c>
      <x:c r="E7" s="112" t="str">
        <x:v>Enzo e Ariel</x:v>
      </x:c>
      <x:c r="F7" s="106" t="str">
        <x:v>Validação de Luã/Laura e STC; objeto, UGs, adjuntas, usuários e ambiente aprovados</x:v>
      </x:c>
      <x:c r="G7" s="106" t="str">
        <x:v>Roteiro de homologação executado e aceite formal para piloto registrado.</x:v>
      </x:c>
      <x:c r="H7" s="134" t="str">
        <x:v>Roadmap indicativo</x:v>
      </x:c>
    </x:row>
    <x:row r="8" ht="112" customHeight="1">
      <x:c r="A8" s="129" t="str">
        <x:v>26/10 a 06/11/2026
Sprint 12</x:v>
      </x:c>
      <x:c r="B8" s="128" t="str">
        <x:v>Piloto assistido e estabilização (usar com UGs acompanhadas e corrigir falhas)</x:v>
      </x:c>
      <x:c r="C8" s="127" t="str">
        <x:v>Versão candidata à implantação (resultado do piloto preparado para decisão)</x:v>
      </x:c>
      <x:c r="D8" s="127" t="str">
        <x:v>• Executar ciclo piloto
• Acompanhar focal e respondentes
• Monitorar erros e suporte
• Corrigir defeitos prioritários
• Revisar documentação
• Consolidar decisão de implantação</x:v>
      </x:c>
      <x:c r="E8" s="130" t="str">
        <x:v>Enzo e Ariel</x:v>
      </x:c>
      <x:c r="F8" s="127" t="str">
        <x:v>Apoio da STC e das UGs; aceite de homologação e suporte institucional disponíveis</x:v>
      </x:c>
      <x:c r="G8" s="127" t="str">
        <x:v>Ciclo piloto encerrado com evidências, riscos residuais conhecidos e decisão de continuidade.</x:v>
      </x:c>
      <x:c r="H8" s="133" t="str">
        <x:v>Roadmap indicativo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8060c8d88a7846bc"/>
  </x:tableParts>
</x:worksheet>
</file>